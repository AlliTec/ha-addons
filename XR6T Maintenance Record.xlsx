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61d60fb2936ea313/Vehicles/Ford Falcon XR6 Turbo Ute/"/>
    </mc:Choice>
  </mc:AlternateContent>
  <xr:revisionPtr revIDLastSave="244" documentId="13_ncr:1_{516DB082-A133-4CFE-A5A2-E970E9BBDAB9}" xr6:coauthVersionLast="47" xr6:coauthVersionMax="47" xr10:uidLastSave="{041AF598-94D5-42ED-9D3D-BC1E1D1E2348}"/>
  <bookViews>
    <workbookView xWindow="-108" yWindow="-108" windowWidth="61656" windowHeight="16896" firstSheet="1" activeTab="2" xr2:uid="{00000000-000D-0000-FFFF-FFFF00000000}"/>
  </bookViews>
  <sheets>
    <sheet name="Vehicle Details" sheetId="2" r:id="rId1"/>
    <sheet name="Chart1" sheetId="5" r:id="rId2"/>
    <sheet name="Maintenance" sheetId="1" r:id="rId3"/>
    <sheet name="Modifications" sheetId="3" r:id="rId4"/>
    <sheet name="Wish List"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2" i="1" l="1"/>
  <c r="G24" i="1"/>
  <c r="G16" i="1"/>
  <c r="G11" i="1"/>
  <c r="G8" i="1"/>
  <c r="G3" i="1"/>
  <c r="G4" i="1"/>
  <c r="G5" i="1"/>
  <c r="G6" i="1"/>
  <c r="G7" i="1"/>
  <c r="G9" i="1"/>
  <c r="G10" i="1"/>
  <c r="G12" i="1"/>
  <c r="G13" i="1"/>
  <c r="G14" i="1"/>
  <c r="G15" i="1"/>
  <c r="G17" i="1"/>
  <c r="G18" i="1"/>
  <c r="G19" i="1"/>
  <c r="G20" i="1"/>
  <c r="G21" i="1"/>
  <c r="G22" i="1"/>
  <c r="G23" i="1"/>
  <c r="G25" i="1"/>
  <c r="G26" i="1"/>
  <c r="G27" i="1"/>
  <c r="G28" i="1"/>
  <c r="G29" i="1"/>
  <c r="G30" i="1"/>
  <c r="G31"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2" i="1"/>
  <c r="B18" i="2"/>
  <c r="B19" i="2"/>
</calcChain>
</file>

<file path=xl/sharedStrings.xml><?xml version="1.0" encoding="utf-8"?>
<sst xmlns="http://schemas.openxmlformats.org/spreadsheetml/2006/main" count="341" uniqueCount="230">
  <si>
    <t>Falcon, 4.0 DOHC Petrol EFI Turbo 24V VCT, Dash</t>
  </si>
  <si>
    <t>Make</t>
  </si>
  <si>
    <t>Ford</t>
  </si>
  <si>
    <t>Model</t>
  </si>
  <si>
    <t>Falcon</t>
  </si>
  <si>
    <t>Badge</t>
  </si>
  <si>
    <t>XR6T</t>
  </si>
  <si>
    <t>Body</t>
  </si>
  <si>
    <t>Ute</t>
  </si>
  <si>
    <t>Colour</t>
  </si>
  <si>
    <t>Dash Green</t>
  </si>
  <si>
    <t>Year</t>
  </si>
  <si>
    <t>Month</t>
  </si>
  <si>
    <t>July</t>
  </si>
  <si>
    <t>VIN</t>
  </si>
  <si>
    <t>6FPAAAJGCM9A59898</t>
  </si>
  <si>
    <t>Engine No.</t>
  </si>
  <si>
    <t>JGCM9A59898</t>
  </si>
  <si>
    <t>Reg</t>
  </si>
  <si>
    <t>DAS970</t>
  </si>
  <si>
    <t>183YGS</t>
  </si>
  <si>
    <t>Purchase Price</t>
  </si>
  <si>
    <t>Former Owner</t>
  </si>
  <si>
    <t>Michael John Rooker</t>
  </si>
  <si>
    <t>KMs at Purchase</t>
  </si>
  <si>
    <t>Purchase Date</t>
  </si>
  <si>
    <t>Total Cost (inc maint &amp; repairs)</t>
  </si>
  <si>
    <t>Total Maint and Repair costs</t>
  </si>
  <si>
    <t>FG Right Hand Inner Door Handle</t>
  </si>
  <si>
    <t>ebay.com.au</t>
  </si>
  <si>
    <t>Bonnet Protector + Weatther Shields</t>
  </si>
  <si>
    <t>Bonnet Gas Struts</t>
  </si>
  <si>
    <t>Tonneau Cover</t>
  </si>
  <si>
    <t>Catch.com</t>
  </si>
  <si>
    <t>Door Pull Cup x 2 (1 fitted)</t>
  </si>
  <si>
    <t>RWC Inspection</t>
  </si>
  <si>
    <t>AutoKing (Darryl)</t>
  </si>
  <si>
    <t>Number Plate Light, Front Parkers, RH High Beam, Reverse Lights, Engine Oil Leak, Exhaust Leak, Drivers Side Handle Internal</t>
  </si>
  <si>
    <t>Front Parkers and RH High beam were unplugged.  Plugged back in and they worked.  Reverse lights needed the relay replaced and bulbs were incorrect.  Oil leak was from Turbo Oil Feed Line.  Drivers inner Door handle replaced.</t>
  </si>
  <si>
    <t>Headlight bulbs and Reverse lights</t>
  </si>
  <si>
    <t>Repco West</t>
  </si>
  <si>
    <t>Replaced Driver's Low/Hi Beam and Number Plate bulbs</t>
  </si>
  <si>
    <t>Reverse Relay</t>
  </si>
  <si>
    <t>Passenger side engine bay near ECU</t>
  </si>
  <si>
    <t>Installed and resolved reverse light issue</t>
  </si>
  <si>
    <t>Exhaust Leak</t>
  </si>
  <si>
    <t>Toowoomba Exhaust Centre
155 McDougal Street, Wilsonton.</t>
  </si>
  <si>
    <t>MCS06L4JX0608</t>
  </si>
  <si>
    <t>2 x Studs on the Dump pipe/Turbine housing were snapped off.  Replaced with new ones.</t>
  </si>
  <si>
    <t>I checked over the exhaust system and found nearly all nuts on the exhaust manifold were finger tight.  I thightend them but could not locate the exhaust leak.  Booked it in a 9:00am to be check over and sorted.  The exhaust shop guy said to just check them every now and then.</t>
  </si>
  <si>
    <t>6 x Spark Plugs (Bosch Double Platinum)</t>
  </si>
  <si>
    <t>SuperCheap Auto</t>
  </si>
  <si>
    <t>Car had a misfire at idle and low rpm</t>
  </si>
  <si>
    <t xml:space="preserve">Ryco Oil Filter </t>
  </si>
  <si>
    <t>Oil Filter</t>
  </si>
  <si>
    <t>Penrite HPR 10 10W-50 Full Synthetic</t>
  </si>
  <si>
    <t>7 Litre</t>
  </si>
  <si>
    <t>Battery Brace Posts</t>
  </si>
  <si>
    <t>Battery was not secured</t>
  </si>
  <si>
    <t>Passed inspection</t>
  </si>
  <si>
    <t>Rego Transfer</t>
  </si>
  <si>
    <t>Dept Main Raods and Transport</t>
  </si>
  <si>
    <t>OUCH!</t>
  </si>
  <si>
    <t>Full 160000 service.</t>
  </si>
  <si>
    <t>Dale Sayers</t>
  </si>
  <si>
    <t>N/A</t>
  </si>
  <si>
    <t>Ryco oil filter,Ryco fuel filter, Castrol brake fluid flush, Penrite HPR 10 10W-50 Full Synthetic</t>
  </si>
  <si>
    <t>fixed brake caliper paint damage.  Clean with brake cleaner and resprayed with clear coat.</t>
  </si>
  <si>
    <t>AEM Surge Tank Fuel Pump in-line 400LPH</t>
  </si>
  <si>
    <t>Car Mods Australia</t>
  </si>
  <si>
    <t>Previous pump was noisey and not supplying correct pressure.  Original flow was only 280LPH  New pump should flow around 360-380 at 60PSI.</t>
  </si>
  <si>
    <t>Replace Side Markers</t>
  </si>
  <si>
    <t>Roof antenna</t>
  </si>
  <si>
    <t>4 x Tub Tie Down Points</t>
  </si>
  <si>
    <t>Walbro 525LPH in-tank fuel pump</t>
  </si>
  <si>
    <t>Goleby's Parts</t>
  </si>
  <si>
    <t>Pulled the Fuel tank out of the car and replaced the fuel pump.</t>
  </si>
  <si>
    <t>When I bought the car the guy said it had a 460LPH walbro pump in tank.  It actually had the factory fuel pump.  The car is ready for E85 now.</t>
  </si>
  <si>
    <t>Custom plates for Xmas</t>
  </si>
  <si>
    <t>Clare, Marty and Will</t>
  </si>
  <si>
    <t>DAS970 Black with Green writing</t>
  </si>
  <si>
    <t>Xmas Gift</t>
  </si>
  <si>
    <t>Autobarn</t>
  </si>
  <si>
    <t>NGK Spark Plugs</t>
  </si>
  <si>
    <t>Misfire at idle / Stalling at lights</t>
  </si>
  <si>
    <t>Misfire sorted with plug change.  Plug that came out looked OK.</t>
  </si>
  <si>
    <t>New Tub and Two Doors</t>
  </si>
  <si>
    <t>Facebook Market Place</t>
  </si>
  <si>
    <t>Drivers side door dent</t>
  </si>
  <si>
    <t>Door was dented before I bought it. The tub was bent from the previous owner.  Drivers Door and Tub replaced.</t>
  </si>
  <si>
    <t>Item</t>
  </si>
  <si>
    <t>Description</t>
  </si>
  <si>
    <t>Supplier</t>
  </si>
  <si>
    <t>Golbey's Parts</t>
  </si>
  <si>
    <t>URL</t>
  </si>
  <si>
    <t>Atomic Oil Pump End Plate</t>
  </si>
  <si>
    <t>https://www.golebysparts.com.au/products/atomic-oil-pump-end-plate?_pos=159&amp;_sid=e13a755c1&amp;_ss=r</t>
  </si>
  <si>
    <t xml:space="preserve"> DBA Ford Falcon T3 Slotted Rotors</t>
  </si>
  <si>
    <t>https://www.golebysparts.com.au/products/dba4504s-dba-4000-series-t3-slotted-brake-rotor-ford-falcon-territory-pair?_pos=286&amp;_sid=228a20426&amp;_ss=r</t>
  </si>
  <si>
    <t>Atomic Oil Pump Gears</t>
  </si>
  <si>
    <t>https://www.golebysparts.com.au/products/atomic-billet-oil-pump-gears?_pos=2&amp;_sid=bdcf5a475&amp;_ss=r</t>
  </si>
  <si>
    <t>GMB Water Pump</t>
  </si>
  <si>
    <t>https://www.golebysparts.com.au/products/barra-6cyl-engine-gmb-water-pump-turbo-and-non-turbo-w2079p?_pos=1&amp;_sid=b206e2c81&amp;_ss=r</t>
  </si>
  <si>
    <t>Atomic BA-FGX Ford Barra DOHC 6 Cylinder Head Stud Kit</t>
  </si>
  <si>
    <t>https://www.golebysparts.com.au/products/atomic-ba-bf-race-main-cap-girdle-306251?_pos=1&amp;_sid=1e79c494c&amp;_ss=r</t>
  </si>
  <si>
    <t>Valvoline 5W-30 Full Synthetic</t>
  </si>
  <si>
    <t>Bunnings</t>
  </si>
  <si>
    <t>Ryco Oil Filter Z516</t>
  </si>
  <si>
    <t>Superecheap Auto</t>
  </si>
  <si>
    <t>Replaced Oil Filter</t>
  </si>
  <si>
    <t>Diff Oil change Gulf Western 90/180</t>
  </si>
  <si>
    <t>Auto Barn</t>
  </si>
  <si>
    <t>Replaced oil was in good condition</t>
  </si>
  <si>
    <t>Oil changed as a matter of course.  No problems.</t>
  </si>
  <si>
    <t>Replaced Front Shock Absorbers</t>
  </si>
  <si>
    <t>Dan's FPV Parts</t>
  </si>
  <si>
    <t>Swapped Springs from old shocks</t>
  </si>
  <si>
    <t>Replaced rear Bulbs with LEDs</t>
  </si>
  <si>
    <t>Brake Lights kept failing</t>
  </si>
  <si>
    <t>AuroBarn</t>
  </si>
  <si>
    <t>Need Ballast resistors.</t>
  </si>
  <si>
    <t>Flapper Valve stuck Open</t>
  </si>
  <si>
    <t>Replcaed battery</t>
  </si>
  <si>
    <t>Radiator dropped and ruptured hose</t>
  </si>
  <si>
    <t>Extended lower mounts and 3D printed TPU shock mounts as the radiator was not properly secured previously.  Installed new radiator and new coolant.</t>
  </si>
  <si>
    <t>Pedders Red Performance shocks</t>
  </si>
  <si>
    <t>Battery Fault</t>
  </si>
  <si>
    <t>Boost Sensor (MAP)</t>
  </si>
  <si>
    <t>EFI Supplies</t>
  </si>
  <si>
    <t>Not reading boost or vacuum</t>
  </si>
  <si>
    <t>Backprobed and found it was faulty.  Replaced</t>
  </si>
  <si>
    <t>Misfire at higher boost levels</t>
  </si>
  <si>
    <t>Repco</t>
  </si>
  <si>
    <t>Performed engine Oil Change</t>
  </si>
  <si>
    <t>Battery not holding charge</t>
  </si>
  <si>
    <t>NO BOOST issue</t>
  </si>
  <si>
    <t>Removed coolant. Disconnected Intercooler Piping, Removed Turbo.  Found bushing for Flapper Valve had broken the tack weld.  Flapper Valve arm was bent.  Straightened arm re-tacked the bushing.  Check for good seal on flapper valve.  Adjusted wastegate actuator. Added coolant.  Car now boosts but have over boosting issue due to adjustmet of actuator arm. (edit - Surge Tank Pump was not powered.  Resolved below)</t>
  </si>
  <si>
    <t>Replaced Headlight bulbs with LEDs</t>
  </si>
  <si>
    <t>Replaced Fog lights</t>
  </si>
  <si>
    <t>Old Fogs had water stain</t>
  </si>
  <si>
    <t>Replaced with Units with Halo LEDs and LED projectors.</t>
  </si>
  <si>
    <t>T-Bar + Handbrake boot</t>
  </si>
  <si>
    <t>After changing the plugs the misfire was still there.  Checked all the coils and they were good.  May have been bad fuel.</t>
  </si>
  <si>
    <t>Replaced Radiator with Fennix Heavy Duty</t>
  </si>
  <si>
    <t>Fuel pump fuse holder</t>
  </si>
  <si>
    <t>Ryco Z516 Oil Filter</t>
  </si>
  <si>
    <t>Did try the Z526ST but was faulty</t>
  </si>
  <si>
    <t>6 x Coils OEM (Ford)</t>
  </si>
  <si>
    <t>Kia Dealer ship</t>
  </si>
  <si>
    <t>Changing the coils resolved the issue.</t>
  </si>
  <si>
    <t>Engine was misfiring at higher RPM</t>
  </si>
  <si>
    <t>2 x 5L @ $64.00 ea</t>
  </si>
  <si>
    <t>Found no power to surge tank pump (400LPH).  Replaced fuse and holder. Relocated relay.  Car running at full power again.  Loses traction in first and second when on boost.  Might need some better tyres… :) (edit - Misfire resolved below)</t>
  </si>
  <si>
    <t>FPS Paddle Shift Kit</t>
  </si>
  <si>
    <t>PVS Automotive</t>
  </si>
  <si>
    <t>Cool bit of kit</t>
  </si>
  <si>
    <t>Pulled Steering wheel and fitted sender.  Fitted receiver to wiring loom under passenger Kick panel.</t>
  </si>
  <si>
    <t>Kumho ECSTA PS71 245r19/30 275r19/30</t>
  </si>
  <si>
    <t>Charlton Tyre Service</t>
  </si>
  <si>
    <t>Replaced Front Brake Rotors</t>
  </si>
  <si>
    <t>DBA4210S T3 Slotted Rotors</t>
  </si>
  <si>
    <t>Better performance than the Dayton that I bought it with. (Still Spins the wheels through first and second)</t>
  </si>
  <si>
    <t>Old rotors were quite worn.  Had a lip on the rim and all the slots were gone.</t>
  </si>
  <si>
    <t>Replaced Brake Pads Front and Rear</t>
  </si>
  <si>
    <t>DBA online Store</t>
  </si>
  <si>
    <t>Rear Rotors could do with replacing.</t>
  </si>
  <si>
    <t>Replaced Dashcam/Revers Cam</t>
  </si>
  <si>
    <t>Aliexpress</t>
  </si>
  <si>
    <t>Replaced blinkers, Reverse Light, and Brake lights.  Installed Ballast resisters on Reverse and Brake</t>
  </si>
  <si>
    <t>Standard Oil Change except for a faulty high flow oilfilter spewing out a few litres of Oil</t>
  </si>
  <si>
    <t>Previous fitted unit failed.</t>
  </si>
  <si>
    <t>PCMTEC</t>
  </si>
  <si>
    <t>Forced</t>
  </si>
  <si>
    <t>ThiEYE 4K Mirror DashCam</t>
  </si>
  <si>
    <t>Oil and Oil Filter Change 15w-40</t>
  </si>
  <si>
    <t>Thicker Oil for Summer.</t>
  </si>
  <si>
    <t>Forced Performance Tuning</t>
  </si>
  <si>
    <t>Dyno Tune hi/lo boost 98 and e85</t>
  </si>
  <si>
    <t>PCMTEC installation</t>
  </si>
  <si>
    <t>Tyler</t>
  </si>
  <si>
    <t>Manifold warped</t>
  </si>
  <si>
    <t>Machined the face of the manifold to get it back to square</t>
  </si>
  <si>
    <t>TurboSmart - HiFlo fuel Regulator</t>
  </si>
  <si>
    <t>Jefferson Ford</t>
  </si>
  <si>
    <t>Replaced</t>
  </si>
  <si>
    <t>JF129621</t>
  </si>
  <si>
    <t>Water Pump</t>
  </si>
  <si>
    <t>Tensioner</t>
  </si>
  <si>
    <t>Metal Pulleys</t>
  </si>
  <si>
    <t>Serpentine Belt</t>
  </si>
  <si>
    <t>90 Degree Thermostat</t>
  </si>
  <si>
    <t>Engine Mount</t>
  </si>
  <si>
    <t>Bought both only replaced Passenger as Driver's side was good.</t>
  </si>
  <si>
    <t>The car was running a little warmer than I liked in traffic.  Replaced Belt, Pulleys,Tensioner</t>
  </si>
  <si>
    <t>Apple Carplay Digital Mirror</t>
  </si>
  <si>
    <t>HI FLOW Fuel Pressure Regulator</t>
  </si>
  <si>
    <t>Replaced during Dyno above.</t>
  </si>
  <si>
    <t>Replaced due to the USB power cable shorting out the older unit.  This is excellent!</t>
  </si>
  <si>
    <t>Installed</t>
  </si>
  <si>
    <t>DONE!</t>
  </si>
  <si>
    <t>Oil and Filter change</t>
  </si>
  <si>
    <t>No issues.</t>
  </si>
  <si>
    <t>Electric Radiator Fans</t>
  </si>
  <si>
    <t xml:space="preserve">Fitment </t>
  </si>
  <si>
    <t>There was a large gap at the bottom of the fan shroud.  Turns out the middle attachment point had missed the hanger.</t>
  </si>
  <si>
    <t>Aerpro ICC replacement with DMX-7022</t>
  </si>
  <si>
    <t>Swapped</t>
  </si>
  <si>
    <t>Removed OEM ICC and installed and configured AERPRO unit.  Works well!  Looks Great.</t>
  </si>
  <si>
    <t>AirFlex 4 Corner Air Suspension</t>
  </si>
  <si>
    <t>AirFlex</t>
  </si>
  <si>
    <t>https://www.airflx.com.au/collections/ford/products/airflex-full-kit-ford-falcon-ba-bf-fg-fgx?variant=43088153477278</t>
  </si>
  <si>
    <t>3 Camera Smart Mirror</t>
  </si>
  <si>
    <t>Replaced Apple Carplay mirror</t>
  </si>
  <si>
    <t xml:space="preserve">Apple carplay mirror was no longer need with new headunit.  I wanted a camera to look in the tub when carrying gear. </t>
  </si>
  <si>
    <t>TR6060 Manual 6 speed</t>
  </si>
  <si>
    <t>Manual Bell housing</t>
  </si>
  <si>
    <t>Budget</t>
  </si>
  <si>
    <t>Dori Junkie</t>
  </si>
  <si>
    <t>New plugs and new Valve cover gasket - 624HP/818NM on E85 - 525HP on 98 - 4 tunes. TurboSMart Fuel pressure regulator</t>
  </si>
  <si>
    <t>asset_id</t>
  </si>
  <si>
    <t>status</t>
  </si>
  <si>
    <t>completed</t>
  </si>
  <si>
    <t>is_unscheduled</t>
  </si>
  <si>
    <t>completed_date</t>
  </si>
  <si>
    <t>task_description</t>
  </si>
  <si>
    <t>notes</t>
  </si>
  <si>
    <t>meter_reading</t>
  </si>
  <si>
    <t>supplier</t>
  </si>
  <si>
    <t>cost</t>
  </si>
  <si>
    <t>innvoice_number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</si>
</sst>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5" formatCode="yyyy\-mm\-dd;@"/>
  </numFmts>
  <fonts count="4" x14ac:knownFonts="1">
    <font>
      <sz val="11"/>
      <color theme="1"/>
      <name val="Calibri"/>
      <family val="2"/>
      <scheme val="minor"/>
    </font>
    <font>
      <sz val="11"/>
      <color theme="1"/>
      <name val="Calibri"/>
      <family val="2"/>
      <scheme val="minor"/>
    </font>
    <font>
      <sz val="11"/>
      <color rgb="FF006100"/>
      <name val="Calibri"/>
      <family val="2"/>
      <scheme val="minor"/>
    </font>
    <font>
      <b/>
      <sz val="11"/>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2" borderId="0" applyNumberFormat="0" applyBorder="0" applyAlignment="0" applyProtection="0"/>
  </cellStyleXfs>
  <cellXfs count="32">
    <xf numFmtId="0" fontId="0" fillId="0" borderId="0" xfId="0"/>
    <xf numFmtId="14" fontId="0" fillId="0" borderId="0" xfId="0" applyNumberFormat="1"/>
    <xf numFmtId="44" fontId="0" fillId="0" borderId="0" xfId="1"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3" fontId="0" fillId="0" borderId="0" xfId="0" applyNumberFormat="1"/>
    <xf numFmtId="44" fontId="0" fillId="0" borderId="0" xfId="0" applyNumberFormat="1"/>
    <xf numFmtId="0" fontId="2" fillId="2" borderId="0" xfId="2" applyAlignment="1">
      <alignment vertical="center"/>
    </xf>
    <xf numFmtId="0" fontId="2" fillId="2" borderId="0" xfId="2"/>
    <xf numFmtId="0" fontId="2" fillId="2" borderId="0" xfId="2" applyAlignment="1">
      <alignment wrapText="1"/>
    </xf>
    <xf numFmtId="44" fontId="2" fillId="2" borderId="0" xfId="2" applyNumberFormat="1"/>
    <xf numFmtId="0" fontId="2" fillId="2" borderId="0" xfId="2" applyAlignment="1">
      <alignment vertical="center" wrapText="1"/>
    </xf>
    <xf numFmtId="0" fontId="0" fillId="0" borderId="0" xfId="0" applyAlignment="1">
      <alignment horizontal="center"/>
    </xf>
    <xf numFmtId="2" fontId="0" fillId="0" borderId="0" xfId="1" applyNumberFormat="1" applyFont="1"/>
    <xf numFmtId="2" fontId="0" fillId="0" borderId="0" xfId="1" applyNumberFormat="1" applyFont="1" applyAlignment="1">
      <alignment vertical="center"/>
    </xf>
    <xf numFmtId="2" fontId="2" fillId="2" borderId="0" xfId="1" applyNumberFormat="1" applyFont="1" applyFill="1" applyAlignment="1">
      <alignment vertical="center"/>
    </xf>
    <xf numFmtId="2" fontId="2" fillId="2" borderId="0" xfId="1" applyNumberFormat="1" applyFont="1" applyFill="1"/>
    <xf numFmtId="2" fontId="0" fillId="0" borderId="0" xfId="1" applyNumberFormat="1" applyFont="1" applyAlignment="1">
      <alignment vertical="center" wrapText="1"/>
    </xf>
    <xf numFmtId="2" fontId="2" fillId="2" borderId="0" xfId="2" applyNumberFormat="1"/>
    <xf numFmtId="165" fontId="0" fillId="0" borderId="0" xfId="0" applyNumberFormat="1"/>
    <xf numFmtId="165" fontId="0" fillId="0" borderId="0" xfId="0" applyNumberFormat="1" applyAlignment="1">
      <alignment vertical="center"/>
    </xf>
    <xf numFmtId="165" fontId="2" fillId="2" borderId="0" xfId="2" applyNumberFormat="1" applyAlignment="1">
      <alignment vertical="center"/>
    </xf>
    <xf numFmtId="165" fontId="2" fillId="2" borderId="0" xfId="2" applyNumberFormat="1"/>
    <xf numFmtId="165" fontId="0" fillId="0" borderId="0" xfId="0" applyNumberFormat="1" applyAlignment="1">
      <alignment vertical="center" wrapText="1"/>
    </xf>
    <xf numFmtId="1" fontId="0" fillId="0" borderId="0" xfId="0" applyNumberFormat="1"/>
    <xf numFmtId="1" fontId="0" fillId="0" borderId="0" xfId="0" applyNumberFormat="1" applyAlignment="1">
      <alignment vertical="center"/>
    </xf>
    <xf numFmtId="1" fontId="3" fillId="2" borderId="0" xfId="2" applyNumberFormat="1" applyFont="1" applyAlignment="1">
      <alignment vertical="center"/>
    </xf>
    <xf numFmtId="1" fontId="2" fillId="2" borderId="0" xfId="2" applyNumberFormat="1" applyAlignment="1">
      <alignment vertical="center"/>
    </xf>
    <xf numFmtId="1" fontId="2" fillId="2" borderId="0" xfId="2" applyNumberFormat="1"/>
    <xf numFmtId="1" fontId="0" fillId="0" borderId="0" xfId="0" applyNumberFormat="1" applyAlignment="1">
      <alignment vertical="center" wrapText="1"/>
    </xf>
  </cellXfs>
  <cellStyles count="3">
    <cellStyle name="Currency" xfId="1" builtinId="4"/>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worksheet" Target="work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Maintenance!$M$2:$M$4</c:f>
              <c:strCache>
                <c:ptCount val="3"/>
              </c:strCache>
            </c:strRef>
          </c:tx>
          <c:spPr>
            <a:solidFill>
              <a:schemeClr val="accent1"/>
            </a:solidFill>
            <a:ln>
              <a:noFill/>
            </a:ln>
            <a:effectLst/>
          </c:spPr>
          <c:invertIfNegative val="0"/>
          <c:val>
            <c:numRef>
              <c:f>Maintenance!$M$5</c:f>
              <c:numCache>
                <c:formatCode>General</c:formatCode>
                <c:ptCount val="1"/>
              </c:numCache>
            </c:numRef>
          </c:val>
          <c:extLst>
            <c:ext xmlns:c16="http://schemas.microsoft.com/office/drawing/2014/chart" uri="{C3380CC4-5D6E-409C-BE32-E72D297353CC}">
              <c16:uniqueId val="{00000000-D54A-4793-81BF-8332F067F795}"/>
            </c:ext>
          </c:extLst>
        </c:ser>
        <c:dLbls>
          <c:showLegendKey val="0"/>
          <c:showVal val="0"/>
          <c:showCatName val="0"/>
          <c:showSerName val="0"/>
          <c:showPercent val="0"/>
          <c:showBubbleSize val="0"/>
        </c:dLbls>
        <c:gapWidth val="219"/>
        <c:overlap val="-27"/>
        <c:axId val="1246083583"/>
        <c:axId val="1246084063"/>
      </c:barChart>
      <c:catAx>
        <c:axId val="12460835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84063"/>
        <c:crosses val="autoZero"/>
        <c:auto val="1"/>
        <c:lblAlgn val="ctr"/>
        <c:lblOffset val="100"/>
        <c:noMultiLvlLbl val="0"/>
      </c:catAx>
      <c:valAx>
        <c:axId val="124608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8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89AED6-2CCB-485B-9D36-070C6C6DE91A}">
  <sheetPr/>
  <sheetViews>
    <sheetView zoomScale="12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Chart 1">
          <a:extLst>
            <a:ext uri="{FF2B5EF4-FFF2-40B4-BE49-F238E27FC236}">
              <a16:creationId xmlns:a16="http://schemas.microsoft.com/office/drawing/2014/main" id="{5918CEF6-022C-87B4-A8E0-7E0DB600BBD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D22" sqref="D22"/>
    </sheetView>
  </sheetViews>
  <sheetFormatPr defaultRowHeight="14.4" x14ac:dyDescent="0.3"/>
  <cols>
    <col min="1" max="1" width="28" bestFit="1" customWidth="1"/>
    <col min="2" max="2" width="20.6640625" bestFit="1" customWidth="1"/>
  </cols>
  <sheetData>
    <row r="1" spans="1:3" x14ac:dyDescent="0.3">
      <c r="A1" s="14" t="s">
        <v>0</v>
      </c>
      <c r="B1" s="14"/>
    </row>
    <row r="3" spans="1:3" x14ac:dyDescent="0.3">
      <c r="A3" t="s">
        <v>1</v>
      </c>
      <c r="B3" t="s">
        <v>2</v>
      </c>
    </row>
    <row r="4" spans="1:3" x14ac:dyDescent="0.3">
      <c r="A4" t="s">
        <v>3</v>
      </c>
      <c r="B4" t="s">
        <v>4</v>
      </c>
    </row>
    <row r="5" spans="1:3" x14ac:dyDescent="0.3">
      <c r="A5" t="s">
        <v>5</v>
      </c>
      <c r="B5" t="s">
        <v>6</v>
      </c>
    </row>
    <row r="6" spans="1:3" x14ac:dyDescent="0.3">
      <c r="A6" t="s">
        <v>7</v>
      </c>
      <c r="B6" t="s">
        <v>8</v>
      </c>
    </row>
    <row r="7" spans="1:3" x14ac:dyDescent="0.3">
      <c r="A7" t="s">
        <v>9</v>
      </c>
      <c r="B7" t="s">
        <v>10</v>
      </c>
    </row>
    <row r="8" spans="1:3" x14ac:dyDescent="0.3">
      <c r="A8" t="s">
        <v>11</v>
      </c>
      <c r="B8">
        <v>2009</v>
      </c>
    </row>
    <row r="9" spans="1:3" x14ac:dyDescent="0.3">
      <c r="A9" t="s">
        <v>12</v>
      </c>
      <c r="B9" t="s">
        <v>13</v>
      </c>
    </row>
    <row r="10" spans="1:3" x14ac:dyDescent="0.3">
      <c r="A10" t="s">
        <v>14</v>
      </c>
      <c r="B10" t="s">
        <v>15</v>
      </c>
    </row>
    <row r="11" spans="1:3" x14ac:dyDescent="0.3">
      <c r="A11" t="s">
        <v>16</v>
      </c>
      <c r="B11" t="s">
        <v>17</v>
      </c>
    </row>
    <row r="12" spans="1:3" x14ac:dyDescent="0.3">
      <c r="A12" t="s">
        <v>18</v>
      </c>
      <c r="B12" t="s">
        <v>19</v>
      </c>
      <c r="C12" t="s">
        <v>20</v>
      </c>
    </row>
    <row r="13" spans="1:3" x14ac:dyDescent="0.3">
      <c r="A13" t="s">
        <v>21</v>
      </c>
      <c r="B13" s="2">
        <v>22500</v>
      </c>
    </row>
    <row r="14" spans="1:3" x14ac:dyDescent="0.3">
      <c r="A14" t="s">
        <v>22</v>
      </c>
      <c r="B14" t="s">
        <v>23</v>
      </c>
    </row>
    <row r="15" spans="1:3" x14ac:dyDescent="0.3">
      <c r="A15" t="s">
        <v>24</v>
      </c>
      <c r="B15" s="7">
        <v>155137</v>
      </c>
    </row>
    <row r="16" spans="1:3" x14ac:dyDescent="0.3">
      <c r="A16" t="s">
        <v>25</v>
      </c>
      <c r="B16" s="1">
        <v>44344</v>
      </c>
    </row>
    <row r="18" spans="1:2" x14ac:dyDescent="0.3">
      <c r="A18" t="s">
        <v>26</v>
      </c>
      <c r="B18" s="8">
        <f>SUM(B13,Maintenance!I:I)</f>
        <v>35363.330000000016</v>
      </c>
    </row>
    <row r="19" spans="1:2" x14ac:dyDescent="0.3">
      <c r="A19" t="s">
        <v>27</v>
      </c>
      <c r="B19" s="8">
        <f>SUM(Maintenance!I:I)</f>
        <v>12863.329999999998</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5"/>
  <sheetViews>
    <sheetView tabSelected="1" workbookViewId="0">
      <pane ySplit="1" topLeftCell="A2" activePane="bottomLeft" state="frozen"/>
      <selection pane="bottomLeft" activeCell="P8" sqref="P8"/>
    </sheetView>
  </sheetViews>
  <sheetFormatPr defaultRowHeight="14.4" x14ac:dyDescent="0.3"/>
  <cols>
    <col min="2" max="2" width="14.44140625" style="21" bestFit="1" customWidth="1"/>
    <col min="3" max="3" width="12.88671875" style="26" bestFit="1" customWidth="1"/>
    <col min="4" max="4" width="38.88671875" bestFit="1" customWidth="1"/>
    <col min="5" max="5" width="33.5546875" customWidth="1"/>
    <col min="6" max="6" width="15.109375" bestFit="1" customWidth="1"/>
    <col min="9" max="9" width="11.5546875" style="15" bestFit="1" customWidth="1"/>
    <col min="11" max="11" width="9.6640625" bestFit="1" customWidth="1"/>
    <col min="12" max="12" width="13.44140625" bestFit="1" customWidth="1"/>
    <col min="13" max="14" width="13.44140625" customWidth="1"/>
    <col min="16" max="16" width="33.5546875" style="3" customWidth="1"/>
    <col min="17" max="17" width="82.5546875" style="5" customWidth="1"/>
  </cols>
  <sheetData>
    <row r="1" spans="1:28" x14ac:dyDescent="0.3">
      <c r="A1" t="s">
        <v>219</v>
      </c>
      <c r="B1" s="21" t="s">
        <v>223</v>
      </c>
      <c r="C1" s="26" t="s">
        <v>226</v>
      </c>
      <c r="D1" t="s">
        <v>224</v>
      </c>
      <c r="E1" t="s">
        <v>227</v>
      </c>
      <c r="F1" t="s">
        <v>229</v>
      </c>
      <c r="G1" t="s">
        <v>225</v>
      </c>
      <c r="I1" s="15" t="s">
        <v>228</v>
      </c>
      <c r="K1" t="s">
        <v>220</v>
      </c>
      <c r="L1" t="s">
        <v>222</v>
      </c>
    </row>
    <row r="2" spans="1:28" x14ac:dyDescent="0.3">
      <c r="A2">
        <v>4</v>
      </c>
      <c r="B2" s="21">
        <v>44344</v>
      </c>
      <c r="C2" s="26">
        <v>156000</v>
      </c>
      <c r="D2" t="s">
        <v>28</v>
      </c>
      <c r="E2" t="s">
        <v>29</v>
      </c>
      <c r="G2" t="str">
        <f>P2 &amp; " | " &amp; Q2</f>
        <v xml:space="preserve"> | </v>
      </c>
      <c r="I2" s="15">
        <v>25.49</v>
      </c>
      <c r="K2" s="4" t="s">
        <v>221</v>
      </c>
      <c r="L2" s="4" t="b">
        <v>1</v>
      </c>
      <c r="M2" s="4"/>
      <c r="N2" s="4"/>
    </row>
    <row r="3" spans="1:28" x14ac:dyDescent="0.3">
      <c r="A3">
        <v>4</v>
      </c>
      <c r="B3" s="21">
        <v>44345</v>
      </c>
      <c r="C3" s="26">
        <v>156000</v>
      </c>
      <c r="D3" t="s">
        <v>30</v>
      </c>
      <c r="E3" t="s">
        <v>29</v>
      </c>
      <c r="G3" t="str">
        <f>P3 &amp; " | " &amp; Q3</f>
        <v xml:space="preserve"> | </v>
      </c>
      <c r="I3" s="15">
        <v>102.99</v>
      </c>
      <c r="K3" s="4" t="s">
        <v>221</v>
      </c>
      <c r="L3" s="4" t="b">
        <v>1</v>
      </c>
      <c r="M3" s="4"/>
      <c r="N3" s="4"/>
    </row>
    <row r="4" spans="1:28" x14ac:dyDescent="0.3">
      <c r="A4">
        <v>4</v>
      </c>
      <c r="B4" s="21">
        <v>44345</v>
      </c>
      <c r="C4" s="26">
        <v>156000</v>
      </c>
      <c r="D4" t="s">
        <v>31</v>
      </c>
      <c r="E4" t="s">
        <v>29</v>
      </c>
      <c r="G4" t="str">
        <f>P4 &amp; " | " &amp; Q4</f>
        <v xml:space="preserve"> | </v>
      </c>
      <c r="I4" s="15">
        <v>28.4</v>
      </c>
      <c r="K4" s="4" t="s">
        <v>221</v>
      </c>
      <c r="L4" s="4" t="b">
        <v>1</v>
      </c>
      <c r="M4" s="4"/>
      <c r="N4" s="4"/>
    </row>
    <row r="5" spans="1:28" x14ac:dyDescent="0.3">
      <c r="A5">
        <v>4</v>
      </c>
      <c r="B5" s="21">
        <v>44345</v>
      </c>
      <c r="C5" s="26">
        <v>156000</v>
      </c>
      <c r="D5" t="s">
        <v>32</v>
      </c>
      <c r="E5" t="s">
        <v>33</v>
      </c>
      <c r="G5" t="str">
        <f>P5 &amp; " | " &amp; Q5</f>
        <v xml:space="preserve"> | </v>
      </c>
      <c r="I5" s="15">
        <v>207</v>
      </c>
      <c r="K5" s="4" t="s">
        <v>221</v>
      </c>
      <c r="L5" s="4" t="b">
        <v>1</v>
      </c>
      <c r="M5" s="4"/>
      <c r="N5" s="4"/>
    </row>
    <row r="6" spans="1:28" x14ac:dyDescent="0.3">
      <c r="A6">
        <v>4</v>
      </c>
      <c r="B6" s="21">
        <v>44346</v>
      </c>
      <c r="C6" s="26">
        <v>156000</v>
      </c>
      <c r="D6" t="s">
        <v>141</v>
      </c>
      <c r="E6" t="s">
        <v>29</v>
      </c>
      <c r="G6" t="str">
        <f>P6 &amp; " | " &amp; Q6</f>
        <v xml:space="preserve"> | </v>
      </c>
      <c r="I6" s="15">
        <v>37.590000000000003</v>
      </c>
      <c r="K6" s="4" t="s">
        <v>221</v>
      </c>
      <c r="L6" s="4" t="b">
        <v>1</v>
      </c>
      <c r="M6" s="4"/>
      <c r="N6" s="4"/>
    </row>
    <row r="7" spans="1:28" x14ac:dyDescent="0.3">
      <c r="A7">
        <v>4</v>
      </c>
      <c r="B7" s="21">
        <v>44346</v>
      </c>
      <c r="C7" s="26">
        <v>156000</v>
      </c>
      <c r="D7" t="s">
        <v>34</v>
      </c>
      <c r="E7" t="s">
        <v>29</v>
      </c>
      <c r="G7" t="str">
        <f>P7 &amp; " | " &amp; Q7</f>
        <v xml:space="preserve"> | </v>
      </c>
      <c r="I7" s="15">
        <v>41.14</v>
      </c>
      <c r="K7" s="4" t="s">
        <v>221</v>
      </c>
      <c r="L7" s="4" t="b">
        <v>1</v>
      </c>
      <c r="M7" s="4"/>
      <c r="N7" s="4"/>
    </row>
    <row r="8" spans="1:28" ht="73.5" customHeight="1" x14ac:dyDescent="0.3">
      <c r="A8">
        <v>4</v>
      </c>
      <c r="B8" s="22">
        <v>44348</v>
      </c>
      <c r="C8" s="27">
        <v>156029</v>
      </c>
      <c r="D8" s="4" t="s">
        <v>35</v>
      </c>
      <c r="E8" s="4" t="s">
        <v>36</v>
      </c>
      <c r="F8" s="6">
        <v>842896</v>
      </c>
      <c r="G8" t="str">
        <f>P8 &amp; " | " &amp; Q8</f>
        <v>Number Plate Light, Front Parkers, RH High Beam, Reverse Lights, Engine Oil Leak, Exhaust Leak, Drivers Side Handle Internal | Front Parkers and RH High beam were unplugged.  Plugged back in and they worked.  Reverse lights needed the relay replaced and bulbs were incorrect.  Oil leak was from Turbo Oil Feed Line.  Drivers inner Door handle replaced.</v>
      </c>
      <c r="I8" s="16">
        <v>111</v>
      </c>
      <c r="K8" s="4" t="s">
        <v>221</v>
      </c>
      <c r="L8" s="4" t="b">
        <v>1</v>
      </c>
      <c r="M8" s="4"/>
      <c r="N8" s="4"/>
      <c r="P8" s="5" t="s">
        <v>37</v>
      </c>
      <c r="Q8" s="5" t="s">
        <v>38</v>
      </c>
    </row>
    <row r="9" spans="1:28" x14ac:dyDescent="0.3">
      <c r="A9">
        <v>4</v>
      </c>
      <c r="B9" s="22">
        <v>44348</v>
      </c>
      <c r="C9" s="27">
        <v>156031</v>
      </c>
      <c r="D9" s="4" t="s">
        <v>39</v>
      </c>
      <c r="E9" s="4" t="s">
        <v>40</v>
      </c>
      <c r="F9" s="4"/>
      <c r="G9" t="str">
        <f>P9 &amp; " | " &amp; Q9</f>
        <v xml:space="preserve"> | Replaced Driver's Low/Hi Beam and Number Plate bulbs</v>
      </c>
      <c r="I9" s="16">
        <v>119</v>
      </c>
      <c r="K9" s="4" t="s">
        <v>221</v>
      </c>
      <c r="L9" s="4" t="b">
        <v>1</v>
      </c>
      <c r="M9" s="4"/>
      <c r="N9" s="4"/>
      <c r="P9" s="5"/>
      <c r="Q9" s="5" t="s">
        <v>41</v>
      </c>
    </row>
    <row r="10" spans="1:28" x14ac:dyDescent="0.3">
      <c r="A10">
        <v>4</v>
      </c>
      <c r="B10" s="22">
        <v>44350</v>
      </c>
      <c r="C10" s="27">
        <v>156042</v>
      </c>
      <c r="D10" s="4" t="s">
        <v>42</v>
      </c>
      <c r="E10" s="4" t="s">
        <v>40</v>
      </c>
      <c r="F10" s="4"/>
      <c r="G10" t="str">
        <f>P10 &amp; " | " &amp; Q10</f>
        <v>Passenger side engine bay near ECU | Installed and resolved reverse light issue</v>
      </c>
      <c r="I10" s="16">
        <v>23</v>
      </c>
      <c r="K10" s="4" t="s">
        <v>221</v>
      </c>
      <c r="L10" s="4" t="b">
        <v>1</v>
      </c>
      <c r="M10" s="4"/>
      <c r="N10" s="4"/>
      <c r="P10" s="3" t="s">
        <v>43</v>
      </c>
      <c r="Q10" s="5" t="s">
        <v>44</v>
      </c>
    </row>
    <row r="11" spans="1:28" ht="76.5" customHeight="1" x14ac:dyDescent="0.3">
      <c r="A11">
        <v>4</v>
      </c>
      <c r="B11" s="22">
        <v>44355</v>
      </c>
      <c r="C11" s="27"/>
      <c r="D11" s="4" t="s">
        <v>45</v>
      </c>
      <c r="E11" s="5" t="s">
        <v>46</v>
      </c>
      <c r="F11" s="4" t="s">
        <v>47</v>
      </c>
      <c r="G11" t="str">
        <f>P11 &amp; " | " &amp; Q11</f>
        <v>2 x Studs on the Dump pipe/Turbine housing were snapped off.  Replaced with new ones. | I checked over the exhaust system and found nearly all nuts on the exhaust manifold were finger tight.  I thightend them but could not locate the exhaust leak.  Booked it in a 9:00am to be check over and sorted.  The exhaust shop guy said to just check them every now and then.</v>
      </c>
      <c r="I11" s="16">
        <v>220</v>
      </c>
      <c r="K11" s="4" t="s">
        <v>221</v>
      </c>
      <c r="L11" s="4" t="b">
        <v>1</v>
      </c>
      <c r="M11" s="4"/>
      <c r="N11" s="4"/>
      <c r="P11" s="5" t="s">
        <v>48</v>
      </c>
      <c r="Q11" s="5" t="s">
        <v>49</v>
      </c>
    </row>
    <row r="12" spans="1:28" s="9" customFormat="1" ht="28.8" x14ac:dyDescent="0.3">
      <c r="A12">
        <v>4</v>
      </c>
      <c r="B12" s="23">
        <v>44359</v>
      </c>
      <c r="C12" s="28">
        <v>156507</v>
      </c>
      <c r="D12" s="9" t="s">
        <v>50</v>
      </c>
      <c r="E12" s="9" t="s">
        <v>51</v>
      </c>
      <c r="G12" t="str">
        <f>P12 &amp; " | " &amp; Q12</f>
        <v>Car had a misfire at idle and low rpm | After changing the plugs the misfire was still there.  Checked all the coils and they were good.  May have been bad fuel.</v>
      </c>
      <c r="I12" s="17">
        <v>87.99</v>
      </c>
      <c r="K12" s="4" t="s">
        <v>221</v>
      </c>
      <c r="L12" s="4" t="b">
        <v>0</v>
      </c>
      <c r="M12" s="4"/>
      <c r="N12" s="4"/>
      <c r="P12" s="13" t="s">
        <v>52</v>
      </c>
      <c r="Q12" s="13" t="s">
        <v>142</v>
      </c>
      <c r="AB12"/>
    </row>
    <row r="13" spans="1:28" s="10" customFormat="1" x14ac:dyDescent="0.3">
      <c r="A13">
        <v>4</v>
      </c>
      <c r="B13" s="24">
        <v>44359</v>
      </c>
      <c r="C13" s="28">
        <v>156507</v>
      </c>
      <c r="D13" s="9" t="s">
        <v>53</v>
      </c>
      <c r="E13" s="9" t="s">
        <v>51</v>
      </c>
      <c r="G13" t="str">
        <f>P13 &amp; " | " &amp; Q13</f>
        <v xml:space="preserve">Oil Filter | </v>
      </c>
      <c r="I13" s="18">
        <v>21.99</v>
      </c>
      <c r="K13" s="4" t="s">
        <v>221</v>
      </c>
      <c r="L13" s="4" t="b">
        <v>0</v>
      </c>
      <c r="M13" s="4"/>
      <c r="N13" s="4"/>
      <c r="P13" s="11" t="s">
        <v>54</v>
      </c>
      <c r="Q13" s="13"/>
      <c r="AB13"/>
    </row>
    <row r="14" spans="1:28" s="10" customFormat="1" x14ac:dyDescent="0.3">
      <c r="A14">
        <v>4</v>
      </c>
      <c r="B14" s="24">
        <v>44359</v>
      </c>
      <c r="C14" s="28">
        <v>156507</v>
      </c>
      <c r="D14" s="9" t="s">
        <v>55</v>
      </c>
      <c r="E14" s="9" t="s">
        <v>51</v>
      </c>
      <c r="G14" t="str">
        <f>P14 &amp; " | " &amp; Q14</f>
        <v xml:space="preserve">7 Litre | </v>
      </c>
      <c r="I14" s="18">
        <v>91.99</v>
      </c>
      <c r="K14" s="4" t="s">
        <v>221</v>
      </c>
      <c r="L14" s="4" t="b">
        <v>0</v>
      </c>
      <c r="M14" s="4"/>
      <c r="N14" s="4"/>
      <c r="P14" s="11" t="s">
        <v>56</v>
      </c>
      <c r="Q14" s="13"/>
      <c r="AB14"/>
    </row>
    <row r="15" spans="1:28" x14ac:dyDescent="0.3">
      <c r="A15">
        <v>4</v>
      </c>
      <c r="B15" s="21">
        <v>44361</v>
      </c>
      <c r="C15" s="27">
        <v>157056</v>
      </c>
      <c r="D15" s="4" t="s">
        <v>57</v>
      </c>
      <c r="E15" s="4" t="s">
        <v>40</v>
      </c>
      <c r="G15" t="str">
        <f>P15 &amp; " | " &amp; Q15</f>
        <v xml:space="preserve">Battery was not secured | </v>
      </c>
      <c r="I15" s="15">
        <v>8</v>
      </c>
      <c r="K15" s="4" t="s">
        <v>221</v>
      </c>
      <c r="L15" s="4" t="b">
        <v>1</v>
      </c>
      <c r="M15" s="4"/>
      <c r="N15" s="4"/>
      <c r="P15" s="3" t="s">
        <v>58</v>
      </c>
    </row>
    <row r="16" spans="1:28" x14ac:dyDescent="0.3">
      <c r="A16">
        <v>4</v>
      </c>
      <c r="B16" s="21">
        <v>44241</v>
      </c>
      <c r="C16" s="27">
        <v>157056</v>
      </c>
      <c r="D16" s="4" t="s">
        <v>35</v>
      </c>
      <c r="E16" s="4" t="s">
        <v>36</v>
      </c>
      <c r="G16" t="str">
        <f>P16 &amp; " | " &amp; Q16</f>
        <v xml:space="preserve">Passed inspection | </v>
      </c>
      <c r="I16" s="15">
        <v>44.47</v>
      </c>
      <c r="K16" s="4" t="s">
        <v>221</v>
      </c>
      <c r="L16" s="4" t="b">
        <v>1</v>
      </c>
      <c r="M16" s="4"/>
      <c r="N16" s="4"/>
      <c r="P16" s="3" t="s">
        <v>59</v>
      </c>
    </row>
    <row r="17" spans="1:28" x14ac:dyDescent="0.3">
      <c r="A17">
        <v>4</v>
      </c>
      <c r="B17" s="21">
        <v>44361</v>
      </c>
      <c r="C17" s="27">
        <v>157056</v>
      </c>
      <c r="D17" s="4" t="s">
        <v>60</v>
      </c>
      <c r="E17" s="4" t="s">
        <v>61</v>
      </c>
      <c r="G17" t="str">
        <f>P17 &amp; " | " &amp; Q17</f>
        <v xml:space="preserve">OUCH! | </v>
      </c>
      <c r="I17" s="15">
        <v>729.2</v>
      </c>
      <c r="K17" s="4" t="s">
        <v>221</v>
      </c>
      <c r="L17" s="4" t="b">
        <v>1</v>
      </c>
      <c r="M17" s="4"/>
      <c r="N17" s="4"/>
      <c r="P17" s="3" t="s">
        <v>62</v>
      </c>
    </row>
    <row r="18" spans="1:28" s="10" customFormat="1" ht="43.2" x14ac:dyDescent="0.3">
      <c r="A18">
        <v>4</v>
      </c>
      <c r="B18" s="23">
        <v>44416</v>
      </c>
      <c r="C18" s="29">
        <v>160152</v>
      </c>
      <c r="D18" s="9" t="s">
        <v>63</v>
      </c>
      <c r="E18" s="9" t="s">
        <v>64</v>
      </c>
      <c r="F18" s="9" t="s">
        <v>65</v>
      </c>
      <c r="G18" t="str">
        <f>P18 &amp; " | " &amp; Q18</f>
        <v>Ryco oil filter,Ryco fuel filter, Castrol brake fluid flush, Penrite HPR 10 10W-50 Full Synthetic | fixed brake caliper paint damage.  Clean with brake cleaner and resprayed with clear coat.</v>
      </c>
      <c r="I18" s="18">
        <v>146.66</v>
      </c>
      <c r="K18" s="4" t="s">
        <v>221</v>
      </c>
      <c r="L18" s="4" t="b">
        <v>0</v>
      </c>
      <c r="M18" s="4"/>
      <c r="N18" s="4"/>
      <c r="P18" s="13" t="s">
        <v>66</v>
      </c>
      <c r="Q18" s="13" t="s">
        <v>67</v>
      </c>
      <c r="AB18"/>
    </row>
    <row r="19" spans="1:28" s="4" customFormat="1" ht="28.8" x14ac:dyDescent="0.3">
      <c r="A19">
        <v>4</v>
      </c>
      <c r="B19" s="22">
        <v>44442</v>
      </c>
      <c r="C19" s="27">
        <v>161600</v>
      </c>
      <c r="D19" s="4" t="s">
        <v>68</v>
      </c>
      <c r="E19" s="4" t="s">
        <v>69</v>
      </c>
      <c r="F19" s="4">
        <v>1000137948</v>
      </c>
      <c r="G19" t="str">
        <f>P19 &amp; " | " &amp; Q19</f>
        <v xml:space="preserve"> | Previous pump was noisey and not supplying correct pressure.  Original flow was only 280LPH  New pump should flow around 360-380 at 60PSI.</v>
      </c>
      <c r="I19" s="16">
        <v>261.91000000000003</v>
      </c>
      <c r="K19" s="4" t="s">
        <v>221</v>
      </c>
      <c r="L19" s="4" t="b">
        <v>1</v>
      </c>
      <c r="P19" s="5"/>
      <c r="Q19" s="5" t="s">
        <v>70</v>
      </c>
      <c r="AB19"/>
    </row>
    <row r="20" spans="1:28" x14ac:dyDescent="0.3">
      <c r="A20">
        <v>4</v>
      </c>
      <c r="B20" s="21">
        <v>44442</v>
      </c>
      <c r="C20" s="27">
        <v>161600</v>
      </c>
      <c r="D20" s="4" t="s">
        <v>71</v>
      </c>
      <c r="E20" s="4" t="s">
        <v>29</v>
      </c>
      <c r="G20" t="str">
        <f>P20 &amp; " | " &amp; Q20</f>
        <v xml:space="preserve"> | </v>
      </c>
      <c r="I20" s="15">
        <v>22.9</v>
      </c>
      <c r="K20" s="4" t="s">
        <v>221</v>
      </c>
      <c r="L20" s="4" t="b">
        <v>1</v>
      </c>
      <c r="M20" s="4"/>
      <c r="N20" s="4"/>
    </row>
    <row r="21" spans="1:28" x14ac:dyDescent="0.3">
      <c r="A21">
        <v>4</v>
      </c>
      <c r="B21" s="21">
        <v>44442</v>
      </c>
      <c r="C21" s="27">
        <v>161600</v>
      </c>
      <c r="D21" s="4" t="s">
        <v>72</v>
      </c>
      <c r="E21" s="4" t="s">
        <v>29</v>
      </c>
      <c r="G21" t="str">
        <f>P21 &amp; " | " &amp; Q21</f>
        <v xml:space="preserve"> | </v>
      </c>
      <c r="I21" s="15">
        <v>19.989999999999998</v>
      </c>
      <c r="K21" s="4" t="s">
        <v>221</v>
      </c>
      <c r="L21" s="4" t="b">
        <v>1</v>
      </c>
      <c r="M21" s="4"/>
      <c r="N21" s="4"/>
    </row>
    <row r="22" spans="1:28" x14ac:dyDescent="0.3">
      <c r="A22">
        <v>4</v>
      </c>
      <c r="B22" s="21">
        <v>44442</v>
      </c>
      <c r="C22" s="27">
        <v>161600</v>
      </c>
      <c r="D22" s="4" t="s">
        <v>73</v>
      </c>
      <c r="E22" s="4" t="s">
        <v>29</v>
      </c>
      <c r="G22" t="str">
        <f>P22 &amp; " | " &amp; Q22</f>
        <v xml:space="preserve"> | </v>
      </c>
      <c r="I22" s="15">
        <v>110</v>
      </c>
      <c r="K22" s="4" t="s">
        <v>221</v>
      </c>
      <c r="L22" s="4" t="b">
        <v>1</v>
      </c>
      <c r="M22" s="4"/>
      <c r="N22" s="4"/>
    </row>
    <row r="23" spans="1:28" ht="28.8" x14ac:dyDescent="0.3">
      <c r="A23">
        <v>4</v>
      </c>
      <c r="B23" s="21">
        <v>44457</v>
      </c>
      <c r="C23" s="27">
        <v>162042</v>
      </c>
      <c r="D23" s="4" t="s">
        <v>74</v>
      </c>
      <c r="E23" s="4" t="s">
        <v>75</v>
      </c>
      <c r="G23" t="str">
        <f>P23 &amp; " | " &amp; Q23</f>
        <v>Pulled the Fuel tank out of the car and replaced the fuel pump. | When I bought the car the guy said it had a 460LPH walbro pump in tank.  It actually had the factory fuel pump.  The car is ready for E85 now.</v>
      </c>
      <c r="I23" s="15">
        <v>214.95</v>
      </c>
      <c r="K23" s="4" t="s">
        <v>221</v>
      </c>
      <c r="L23" s="4" t="b">
        <v>1</v>
      </c>
      <c r="M23" s="4"/>
      <c r="N23" s="4"/>
      <c r="P23" s="3" t="s">
        <v>76</v>
      </c>
      <c r="Q23" s="3" t="s">
        <v>77</v>
      </c>
    </row>
    <row r="24" spans="1:28" x14ac:dyDescent="0.3">
      <c r="A24">
        <v>4</v>
      </c>
      <c r="B24" s="21">
        <v>44574</v>
      </c>
      <c r="C24" s="27">
        <v>165044</v>
      </c>
      <c r="D24" s="4" t="s">
        <v>78</v>
      </c>
      <c r="E24" s="4" t="s">
        <v>79</v>
      </c>
      <c r="G24" t="str">
        <f>P24 &amp; " | " &amp; Q24</f>
        <v>DAS970 Black with Green writing | Xmas Gift</v>
      </c>
      <c r="I24" s="15">
        <v>0</v>
      </c>
      <c r="K24" s="4" t="s">
        <v>221</v>
      </c>
      <c r="L24" s="4" t="b">
        <v>1</v>
      </c>
      <c r="M24" s="4"/>
      <c r="N24" s="4"/>
      <c r="P24" s="3" t="s">
        <v>80</v>
      </c>
      <c r="Q24" s="3" t="s">
        <v>81</v>
      </c>
    </row>
    <row r="25" spans="1:28" s="10" customFormat="1" x14ac:dyDescent="0.3">
      <c r="A25">
        <v>4</v>
      </c>
      <c r="B25" s="24">
        <v>44576</v>
      </c>
      <c r="C25" s="28">
        <v>165078</v>
      </c>
      <c r="D25" s="9" t="s">
        <v>55</v>
      </c>
      <c r="E25" s="9" t="s">
        <v>82</v>
      </c>
      <c r="G25" t="str">
        <f>P25 &amp; " | " &amp; Q25</f>
        <v xml:space="preserve"> | </v>
      </c>
      <c r="I25" s="18">
        <v>101</v>
      </c>
      <c r="K25" s="4" t="s">
        <v>221</v>
      </c>
      <c r="L25" s="4" t="b">
        <v>0</v>
      </c>
      <c r="M25" s="4"/>
      <c r="N25" s="4"/>
      <c r="P25" s="11"/>
      <c r="Q25" s="13"/>
      <c r="AB25"/>
    </row>
    <row r="26" spans="1:28" s="10" customFormat="1" x14ac:dyDescent="0.3">
      <c r="A26">
        <v>4</v>
      </c>
      <c r="B26" s="24">
        <v>44576</v>
      </c>
      <c r="C26" s="28">
        <v>165078</v>
      </c>
      <c r="D26" s="9" t="s">
        <v>53</v>
      </c>
      <c r="E26" s="9" t="s">
        <v>82</v>
      </c>
      <c r="G26" t="str">
        <f>P26 &amp; " | " &amp; Q26</f>
        <v xml:space="preserve"> | </v>
      </c>
      <c r="I26" s="18">
        <v>30</v>
      </c>
      <c r="K26" s="4" t="s">
        <v>221</v>
      </c>
      <c r="L26" s="4" t="b">
        <v>0</v>
      </c>
      <c r="M26" s="4"/>
      <c r="N26" s="4"/>
      <c r="P26" s="11"/>
      <c r="Q26" s="13"/>
      <c r="AB26"/>
    </row>
    <row r="27" spans="1:28" s="10" customFormat="1" x14ac:dyDescent="0.3">
      <c r="A27">
        <v>4</v>
      </c>
      <c r="B27" s="24">
        <v>44576</v>
      </c>
      <c r="C27" s="28">
        <v>165078</v>
      </c>
      <c r="D27" s="9" t="s">
        <v>83</v>
      </c>
      <c r="E27" s="9" t="s">
        <v>82</v>
      </c>
      <c r="G27" t="str">
        <f>P27 &amp; " | " &amp; Q27</f>
        <v>Misfire at idle / Stalling at lights | Misfire sorted with plug change.  Plug that came out looked OK.</v>
      </c>
      <c r="I27" s="18">
        <v>90</v>
      </c>
      <c r="K27" s="4" t="s">
        <v>221</v>
      </c>
      <c r="L27" s="4" t="b">
        <v>0</v>
      </c>
      <c r="M27" s="4"/>
      <c r="N27" s="4"/>
      <c r="P27" s="11" t="s">
        <v>84</v>
      </c>
      <c r="Q27" s="13" t="s">
        <v>85</v>
      </c>
      <c r="AB27"/>
    </row>
    <row r="28" spans="1:28" ht="28.8" x14ac:dyDescent="0.3">
      <c r="A28">
        <v>4</v>
      </c>
      <c r="B28" s="21">
        <v>44642</v>
      </c>
      <c r="C28" s="26">
        <v>165756</v>
      </c>
      <c r="D28" t="s">
        <v>86</v>
      </c>
      <c r="E28" t="s">
        <v>87</v>
      </c>
      <c r="F28" t="s">
        <v>65</v>
      </c>
      <c r="G28" t="str">
        <f>P28 &amp; " | " &amp; Q28</f>
        <v>Drivers side door dent | Door was dented before I bought it. The tub was bent from the previous owner.  Drivers Door and Tub replaced.</v>
      </c>
      <c r="I28" s="15">
        <v>950</v>
      </c>
      <c r="K28" s="4" t="s">
        <v>221</v>
      </c>
      <c r="L28" s="4" t="b">
        <v>1</v>
      </c>
      <c r="M28" s="4"/>
      <c r="N28" s="4"/>
      <c r="P28" s="3" t="s">
        <v>88</v>
      </c>
      <c r="Q28" s="5" t="s">
        <v>89</v>
      </c>
    </row>
    <row r="29" spans="1:28" s="10" customFormat="1" x14ac:dyDescent="0.3">
      <c r="A29">
        <v>4</v>
      </c>
      <c r="B29" s="24">
        <v>44759</v>
      </c>
      <c r="C29" s="29">
        <v>169742</v>
      </c>
      <c r="D29" s="9" t="s">
        <v>105</v>
      </c>
      <c r="E29" s="9" t="s">
        <v>106</v>
      </c>
      <c r="G29" t="str">
        <f>P29 &amp; " | " &amp; Q29</f>
        <v xml:space="preserve"> | Performed engine Oil Change</v>
      </c>
      <c r="I29" s="18">
        <v>128</v>
      </c>
      <c r="K29" s="4" t="s">
        <v>221</v>
      </c>
      <c r="L29" s="4" t="b">
        <v>0</v>
      </c>
      <c r="M29" s="4"/>
      <c r="N29" s="4"/>
      <c r="P29" s="11"/>
      <c r="Q29" s="13" t="s">
        <v>133</v>
      </c>
      <c r="AB29"/>
    </row>
    <row r="30" spans="1:28" s="10" customFormat="1" x14ac:dyDescent="0.3">
      <c r="A30">
        <v>4</v>
      </c>
      <c r="B30" s="24"/>
      <c r="C30" s="29">
        <v>169742</v>
      </c>
      <c r="D30" s="9" t="s">
        <v>107</v>
      </c>
      <c r="E30" s="9" t="s">
        <v>108</v>
      </c>
      <c r="G30" t="str">
        <f>P30 &amp; " | " &amp; Q30</f>
        <v xml:space="preserve"> | Replaced Oil Filter</v>
      </c>
      <c r="I30" s="18">
        <v>32</v>
      </c>
      <c r="K30" s="4" t="s">
        <v>221</v>
      </c>
      <c r="L30" s="4" t="b">
        <v>0</v>
      </c>
      <c r="M30" s="4"/>
      <c r="N30" s="4"/>
      <c r="P30" s="11"/>
      <c r="Q30" s="13" t="s">
        <v>109</v>
      </c>
      <c r="AB30"/>
    </row>
    <row r="31" spans="1:28" s="10" customFormat="1" x14ac:dyDescent="0.3">
      <c r="A31">
        <v>4</v>
      </c>
      <c r="B31" s="24">
        <v>44786</v>
      </c>
      <c r="C31" s="30">
        <v>170009</v>
      </c>
      <c r="D31" s="10" t="s">
        <v>110</v>
      </c>
      <c r="E31" s="10" t="s">
        <v>111</v>
      </c>
      <c r="G31" t="str">
        <f>P31 &amp; " | " &amp; Q31</f>
        <v>Replaced oil was in good condition | Oil changed as a matter of course.  No problems.</v>
      </c>
      <c r="I31" s="18">
        <v>72</v>
      </c>
      <c r="K31" s="4" t="s">
        <v>221</v>
      </c>
      <c r="L31" s="4" t="b">
        <v>0</v>
      </c>
      <c r="M31" s="4"/>
      <c r="N31" s="4"/>
      <c r="P31" s="11" t="s">
        <v>112</v>
      </c>
      <c r="Q31" s="13" t="s">
        <v>113</v>
      </c>
      <c r="AB31"/>
    </row>
    <row r="32" spans="1:28" x14ac:dyDescent="0.3">
      <c r="A32">
        <v>4</v>
      </c>
      <c r="B32" s="21">
        <v>44814</v>
      </c>
      <c r="C32" s="26">
        <v>170324</v>
      </c>
      <c r="D32" t="s">
        <v>114</v>
      </c>
      <c r="E32" t="s">
        <v>115</v>
      </c>
      <c r="G32" t="str">
        <f>P32 &amp; " | " &amp; Q32</f>
        <v>Swapped Springs from old shocks | Pedders Red Performance shocks</v>
      </c>
      <c r="I32" s="15">
        <v>280</v>
      </c>
      <c r="K32" s="4" t="s">
        <v>221</v>
      </c>
      <c r="L32" s="4" t="b">
        <v>1</v>
      </c>
      <c r="M32" s="4"/>
      <c r="N32" s="4"/>
      <c r="P32" s="3" t="s">
        <v>116</v>
      </c>
      <c r="Q32" s="5" t="s">
        <v>125</v>
      </c>
    </row>
    <row r="33" spans="1:28" s="4" customFormat="1" x14ac:dyDescent="0.3">
      <c r="A33">
        <v>4</v>
      </c>
      <c r="B33" s="22">
        <v>44814</v>
      </c>
      <c r="C33" s="27">
        <v>170324</v>
      </c>
      <c r="D33" s="4" t="s">
        <v>117</v>
      </c>
      <c r="E33" s="4" t="s">
        <v>51</v>
      </c>
      <c r="G33" t="str">
        <f>P33 &amp; " | " &amp; Q33</f>
        <v>Brake Lights kept failing | Replaced blinkers, Reverse Light, and Brake lights.  Installed Ballast resisters on Reverse and Brake</v>
      </c>
      <c r="I33" s="16">
        <v>180</v>
      </c>
      <c r="K33" s="4" t="s">
        <v>221</v>
      </c>
      <c r="L33" s="4" t="b">
        <v>1</v>
      </c>
      <c r="P33" s="5" t="s">
        <v>118</v>
      </c>
      <c r="Q33" s="5" t="s">
        <v>168</v>
      </c>
      <c r="AB33"/>
    </row>
    <row r="34" spans="1:28" x14ac:dyDescent="0.3">
      <c r="A34">
        <v>4</v>
      </c>
      <c r="B34" s="21">
        <v>44814</v>
      </c>
      <c r="C34" s="26">
        <v>170324</v>
      </c>
      <c r="D34" t="s">
        <v>137</v>
      </c>
      <c r="E34" t="s">
        <v>119</v>
      </c>
      <c r="G34" t="str">
        <f>P34 &amp; " | " &amp; Q34</f>
        <v xml:space="preserve"> | Need Ballast resistors.</v>
      </c>
      <c r="I34" s="15">
        <v>120</v>
      </c>
      <c r="K34" s="4" t="s">
        <v>221</v>
      </c>
      <c r="L34" s="4" t="b">
        <v>1</v>
      </c>
      <c r="M34" s="4"/>
      <c r="N34" s="4"/>
      <c r="Q34" s="5" t="s">
        <v>120</v>
      </c>
    </row>
    <row r="35" spans="1:28" x14ac:dyDescent="0.3">
      <c r="A35">
        <v>4</v>
      </c>
      <c r="B35" s="21">
        <v>44822</v>
      </c>
      <c r="C35" s="26">
        <v>171025</v>
      </c>
      <c r="D35" t="s">
        <v>138</v>
      </c>
      <c r="G35" t="str">
        <f>P35 &amp; " | " &amp; Q35</f>
        <v>Old Fogs had water stain | Replaced with Units with Halo LEDs and LED projectors.</v>
      </c>
      <c r="K35" s="4" t="s">
        <v>221</v>
      </c>
      <c r="L35" s="4" t="b">
        <v>1</v>
      </c>
      <c r="M35" s="4"/>
      <c r="N35" s="4"/>
      <c r="P35" s="3" t="s">
        <v>139</v>
      </c>
      <c r="Q35" s="5" t="s">
        <v>140</v>
      </c>
    </row>
    <row r="36" spans="1:28" s="4" customFormat="1" ht="28.8" x14ac:dyDescent="0.3">
      <c r="A36">
        <v>4</v>
      </c>
      <c r="B36" s="22">
        <v>44876</v>
      </c>
      <c r="C36" s="27">
        <v>172045</v>
      </c>
      <c r="D36" s="4" t="s">
        <v>143</v>
      </c>
      <c r="E36" s="4" t="s">
        <v>217</v>
      </c>
      <c r="G36" t="str">
        <f>P36 &amp; " | " &amp; Q36</f>
        <v>Radiator dropped and ruptured hose | Extended lower mounts and 3D printed TPU shock mounts as the radiator was not properly secured previously.  Installed new radiator and new coolant.</v>
      </c>
      <c r="I36" s="16">
        <v>505</v>
      </c>
      <c r="K36" s="4" t="s">
        <v>221</v>
      </c>
      <c r="L36" s="4" t="b">
        <v>1</v>
      </c>
      <c r="P36" s="5" t="s">
        <v>123</v>
      </c>
      <c r="Q36" s="5" t="s">
        <v>124</v>
      </c>
      <c r="AB36"/>
    </row>
    <row r="37" spans="1:28" s="4" customFormat="1" ht="72" x14ac:dyDescent="0.3">
      <c r="A37">
        <v>4</v>
      </c>
      <c r="B37" s="22">
        <v>44878</v>
      </c>
      <c r="C37" s="27">
        <v>172052</v>
      </c>
      <c r="D37" s="4" t="s">
        <v>135</v>
      </c>
      <c r="G37" t="str">
        <f>P37 &amp; " | " &amp; Q37</f>
        <v>Flapper Valve stuck Open | Removed coolant. Disconnected Intercooler Piping, Removed Turbo.  Found bushing for Flapper Valve had broken the tack weld.  Flapper Valve arm was bent.  Straightened arm re-tacked the bushing.  Check for good seal on flapper valve.  Adjusted wastegate actuator. Added coolant.  Car now boosts but have over boosting issue due to adjustmet of actuator arm. (edit - Surge Tank Pump was not powered.  Resolved below)</v>
      </c>
      <c r="I37" s="16"/>
      <c r="K37" s="4" t="s">
        <v>221</v>
      </c>
      <c r="L37" s="4" t="b">
        <v>1</v>
      </c>
      <c r="P37" s="5" t="s">
        <v>121</v>
      </c>
      <c r="Q37" s="5" t="s">
        <v>136</v>
      </c>
      <c r="AB37"/>
    </row>
    <row r="38" spans="1:28" x14ac:dyDescent="0.3">
      <c r="A38">
        <v>4</v>
      </c>
      <c r="B38" s="21">
        <v>44879</v>
      </c>
      <c r="C38" s="26">
        <v>172060</v>
      </c>
      <c r="D38" t="s">
        <v>126</v>
      </c>
      <c r="E38" t="s">
        <v>40</v>
      </c>
      <c r="G38" t="str">
        <f>P38 &amp; " | " &amp; Q38</f>
        <v>Battery not holding charge | Replcaed battery</v>
      </c>
      <c r="I38" s="15">
        <v>212</v>
      </c>
      <c r="K38" s="4" t="s">
        <v>221</v>
      </c>
      <c r="L38" s="4" t="b">
        <v>1</v>
      </c>
      <c r="M38" s="4"/>
      <c r="N38" s="4"/>
      <c r="P38" s="3" t="s">
        <v>134</v>
      </c>
      <c r="Q38" s="5" t="s">
        <v>122</v>
      </c>
    </row>
    <row r="39" spans="1:28" x14ac:dyDescent="0.3">
      <c r="A39">
        <v>4</v>
      </c>
      <c r="B39" s="21">
        <v>44884</v>
      </c>
      <c r="C39" s="26">
        <v>172120</v>
      </c>
      <c r="D39" t="s">
        <v>127</v>
      </c>
      <c r="E39" t="s">
        <v>128</v>
      </c>
      <c r="G39" t="str">
        <f>P39 &amp; " | " &amp; Q39</f>
        <v>Not reading boost or vacuum | Backprobed and found it was faulty.  Replaced</v>
      </c>
      <c r="I39" s="15">
        <v>105</v>
      </c>
      <c r="K39" s="4" t="s">
        <v>221</v>
      </c>
      <c r="L39" s="4" t="b">
        <v>1</v>
      </c>
      <c r="M39" s="4"/>
      <c r="N39" s="4"/>
      <c r="P39" s="3" t="s">
        <v>129</v>
      </c>
      <c r="Q39" s="5" t="s">
        <v>130</v>
      </c>
    </row>
    <row r="40" spans="1:28" s="4" customFormat="1" ht="43.2" x14ac:dyDescent="0.3">
      <c r="A40">
        <v>4</v>
      </c>
      <c r="B40" s="22">
        <v>44884</v>
      </c>
      <c r="C40" s="27">
        <v>172127</v>
      </c>
      <c r="D40" s="4" t="s">
        <v>144</v>
      </c>
      <c r="E40" s="4" t="s">
        <v>132</v>
      </c>
      <c r="G40" t="str">
        <f>P40 &amp; " | " &amp; Q40</f>
        <v>Misfire at higher boost levels | Found no power to surge tank pump (400LPH).  Replaced fuse and holder. Relocated relay.  Car running at full power again.  Loses traction in first and second when on boost.  Might need some better tyres… :) (edit - Misfire resolved below)</v>
      </c>
      <c r="I40" s="16">
        <v>25</v>
      </c>
      <c r="K40" s="4" t="s">
        <v>221</v>
      </c>
      <c r="L40" s="4" t="b">
        <v>1</v>
      </c>
      <c r="P40" s="5" t="s">
        <v>131</v>
      </c>
      <c r="Q40" s="5" t="s">
        <v>152</v>
      </c>
      <c r="AB40"/>
    </row>
    <row r="41" spans="1:28" s="9" customFormat="1" x14ac:dyDescent="0.3">
      <c r="A41">
        <v>4</v>
      </c>
      <c r="B41" s="23">
        <v>44968</v>
      </c>
      <c r="C41" s="29">
        <v>175250</v>
      </c>
      <c r="D41" s="9" t="s">
        <v>105</v>
      </c>
      <c r="E41" s="9" t="s">
        <v>106</v>
      </c>
      <c r="G41" t="str">
        <f>P41 &amp; " | " &amp; Q41</f>
        <v>2 x 5L @ $64.00 ea | Standard Oil Change except for a faulty high flow oilfilter spewing out a few litres of Oil</v>
      </c>
      <c r="I41" s="17">
        <v>128</v>
      </c>
      <c r="K41" s="4" t="s">
        <v>221</v>
      </c>
      <c r="L41" s="4" t="b">
        <v>0</v>
      </c>
      <c r="M41" s="4"/>
      <c r="N41" s="4"/>
      <c r="P41" s="13" t="s">
        <v>151</v>
      </c>
      <c r="Q41" s="13" t="s">
        <v>169</v>
      </c>
      <c r="AB41"/>
    </row>
    <row r="42" spans="1:28" s="10" customFormat="1" x14ac:dyDescent="0.3">
      <c r="A42">
        <v>4</v>
      </c>
      <c r="B42" s="24">
        <v>44968</v>
      </c>
      <c r="C42" s="29">
        <v>175250</v>
      </c>
      <c r="D42" s="9" t="s">
        <v>145</v>
      </c>
      <c r="E42" s="9" t="s">
        <v>51</v>
      </c>
      <c r="G42" t="str">
        <f>P42 &amp; " | " &amp; Q42</f>
        <v xml:space="preserve">Did try the Z526ST but was faulty | </v>
      </c>
      <c r="I42" s="18">
        <v>26</v>
      </c>
      <c r="K42" s="4" t="s">
        <v>221</v>
      </c>
      <c r="L42" s="4" t="b">
        <v>0</v>
      </c>
      <c r="M42" s="4"/>
      <c r="N42" s="4"/>
      <c r="P42" s="11" t="s">
        <v>146</v>
      </c>
      <c r="Q42" s="13"/>
      <c r="AB42"/>
    </row>
    <row r="43" spans="1:28" x14ac:dyDescent="0.3">
      <c r="A43">
        <v>4</v>
      </c>
      <c r="B43" s="21">
        <v>44968</v>
      </c>
      <c r="C43" s="27">
        <v>175250</v>
      </c>
      <c r="D43" s="4" t="s">
        <v>147</v>
      </c>
      <c r="E43" s="4" t="s">
        <v>148</v>
      </c>
      <c r="G43" t="str">
        <f>P43 &amp; " | " &amp; Q43</f>
        <v>Engine was misfiring at higher RPM | Changing the coils resolved the issue.</v>
      </c>
      <c r="I43" s="15">
        <v>260</v>
      </c>
      <c r="K43" s="4" t="s">
        <v>221</v>
      </c>
      <c r="L43" s="4" t="b">
        <v>1</v>
      </c>
      <c r="M43" s="4"/>
      <c r="N43" s="4"/>
      <c r="P43" s="3" t="s">
        <v>150</v>
      </c>
      <c r="Q43" s="5" t="s">
        <v>149</v>
      </c>
    </row>
    <row r="44" spans="1:28" s="5" customFormat="1" x14ac:dyDescent="0.3">
      <c r="A44">
        <v>4</v>
      </c>
      <c r="B44" s="25">
        <v>45001</v>
      </c>
      <c r="C44" s="31">
        <v>176060</v>
      </c>
      <c r="D44" s="5" t="s">
        <v>153</v>
      </c>
      <c r="E44" s="5" t="s">
        <v>154</v>
      </c>
      <c r="F44" s="5">
        <v>45001</v>
      </c>
      <c r="G44" t="str">
        <f>P44 &amp; " | " &amp; Q44</f>
        <v>Cool bit of kit | Pulled Steering wheel and fitted sender.  Fitted receiver to wiring loom under passenger Kick panel.</v>
      </c>
      <c r="I44" s="19">
        <v>299</v>
      </c>
      <c r="K44" s="4" t="s">
        <v>221</v>
      </c>
      <c r="L44" s="4" t="b">
        <v>1</v>
      </c>
      <c r="M44" s="4"/>
      <c r="N44" s="4"/>
      <c r="P44" s="5" t="s">
        <v>155</v>
      </c>
      <c r="Q44" s="5" t="s">
        <v>156</v>
      </c>
      <c r="AB44"/>
    </row>
    <row r="45" spans="1:28" s="4" customFormat="1" ht="28.8" x14ac:dyDescent="0.3">
      <c r="A45">
        <v>4</v>
      </c>
      <c r="B45" s="22">
        <v>45002</v>
      </c>
      <c r="C45" s="27">
        <v>176065</v>
      </c>
      <c r="D45" s="4" t="s">
        <v>157</v>
      </c>
      <c r="E45" s="4" t="s">
        <v>158</v>
      </c>
      <c r="G45" t="str">
        <f>P45 &amp; " | " &amp; Q45</f>
        <v xml:space="preserve"> | Better performance than the Dayton that I bought it with. (Still Spins the wheels through first and second)</v>
      </c>
      <c r="I45" s="16">
        <v>900</v>
      </c>
      <c r="K45" s="4" t="s">
        <v>221</v>
      </c>
      <c r="L45" s="4" t="b">
        <v>1</v>
      </c>
      <c r="P45" s="5"/>
      <c r="Q45" s="5" t="s">
        <v>161</v>
      </c>
      <c r="AB45"/>
    </row>
    <row r="46" spans="1:28" x14ac:dyDescent="0.3">
      <c r="A46">
        <v>4</v>
      </c>
      <c r="B46" s="21">
        <v>45079</v>
      </c>
      <c r="C46" s="26">
        <v>178250</v>
      </c>
      <c r="D46" t="s">
        <v>159</v>
      </c>
      <c r="E46" t="s">
        <v>82</v>
      </c>
      <c r="F46">
        <v>342574</v>
      </c>
      <c r="G46" t="str">
        <f>P46 &amp; " | " &amp; Q46</f>
        <v>DBA4210S T3 Slotted Rotors | Old rotors were quite worn.  Had a lip on the rim and all the slots were gone.</v>
      </c>
      <c r="I46" s="15">
        <v>601.5</v>
      </c>
      <c r="K46" s="4" t="s">
        <v>221</v>
      </c>
      <c r="L46" s="4" t="b">
        <v>1</v>
      </c>
      <c r="M46" s="4"/>
      <c r="N46" s="4"/>
      <c r="P46" s="3" t="s">
        <v>160</v>
      </c>
      <c r="Q46" s="5" t="s">
        <v>162</v>
      </c>
    </row>
    <row r="47" spans="1:28" x14ac:dyDescent="0.3">
      <c r="A47">
        <v>4</v>
      </c>
      <c r="B47" s="21">
        <v>45088</v>
      </c>
      <c r="C47" s="26">
        <v>178424</v>
      </c>
      <c r="D47" t="s">
        <v>163</v>
      </c>
      <c r="E47" t="s">
        <v>164</v>
      </c>
      <c r="G47" t="str">
        <f>P47 &amp; " | " &amp; Q47</f>
        <v xml:space="preserve"> | Rear Rotors could do with replacing.</v>
      </c>
      <c r="K47" s="4" t="s">
        <v>221</v>
      </c>
      <c r="L47" s="4" t="b">
        <v>1</v>
      </c>
      <c r="M47" s="4"/>
      <c r="N47" s="4"/>
      <c r="Q47" s="5" t="s">
        <v>165</v>
      </c>
    </row>
    <row r="48" spans="1:28" x14ac:dyDescent="0.3">
      <c r="A48">
        <v>4</v>
      </c>
      <c r="B48" s="21">
        <v>45116</v>
      </c>
      <c r="C48" s="26">
        <v>178985</v>
      </c>
      <c r="D48" t="s">
        <v>166</v>
      </c>
      <c r="E48" t="s">
        <v>167</v>
      </c>
      <c r="G48" t="str">
        <f>P48 &amp; " | " &amp; Q48</f>
        <v>ThiEYE 4K Mirror DashCam | Previous fitted unit failed.</v>
      </c>
      <c r="I48" s="15">
        <v>111.93</v>
      </c>
      <c r="K48" s="4" t="s">
        <v>221</v>
      </c>
      <c r="L48" s="4" t="b">
        <v>1</v>
      </c>
      <c r="M48" s="4"/>
      <c r="N48" s="4"/>
      <c r="P48" s="3" t="s">
        <v>173</v>
      </c>
      <c r="Q48" s="5" t="s">
        <v>170</v>
      </c>
    </row>
    <row r="49" spans="1:28" s="10" customFormat="1" x14ac:dyDescent="0.3">
      <c r="A49">
        <v>4</v>
      </c>
      <c r="B49" s="24">
        <v>45227</v>
      </c>
      <c r="C49" s="30">
        <v>180052</v>
      </c>
      <c r="D49" s="10" t="s">
        <v>174</v>
      </c>
      <c r="E49" s="10" t="s">
        <v>51</v>
      </c>
      <c r="G49" t="str">
        <f>P49 &amp; " | " &amp; Q49</f>
        <v xml:space="preserve"> | Thicker Oil for Summer.</v>
      </c>
      <c r="I49" s="18">
        <v>155</v>
      </c>
      <c r="K49" s="4" t="s">
        <v>221</v>
      </c>
      <c r="L49" s="4" t="b">
        <v>0</v>
      </c>
      <c r="M49" s="4"/>
      <c r="N49" s="4"/>
      <c r="P49" s="11"/>
      <c r="Q49" s="13" t="s">
        <v>175</v>
      </c>
      <c r="AB49"/>
    </row>
    <row r="50" spans="1:28" x14ac:dyDescent="0.3">
      <c r="A50">
        <v>4</v>
      </c>
      <c r="B50" s="21">
        <v>45234</v>
      </c>
      <c r="D50" t="s">
        <v>45</v>
      </c>
      <c r="E50" t="s">
        <v>179</v>
      </c>
      <c r="G50" t="str">
        <f>P50 &amp; " | " &amp; Q50</f>
        <v>Manifold warped | Machined the face of the manifold to get it back to square</v>
      </c>
      <c r="I50" s="15">
        <v>0</v>
      </c>
      <c r="K50" s="4" t="s">
        <v>221</v>
      </c>
      <c r="L50" s="4" t="b">
        <v>1</v>
      </c>
      <c r="M50" s="4"/>
      <c r="N50" s="4"/>
      <c r="P50" t="s">
        <v>180</v>
      </c>
      <c r="Q50" s="5" t="s">
        <v>181</v>
      </c>
    </row>
    <row r="51" spans="1:28" s="4" customFormat="1" ht="28.8" x14ac:dyDescent="0.3">
      <c r="A51">
        <v>4</v>
      </c>
      <c r="B51" s="22">
        <v>45251</v>
      </c>
      <c r="C51" s="27"/>
      <c r="D51" s="4" t="s">
        <v>177</v>
      </c>
      <c r="E51" s="4" t="s">
        <v>176</v>
      </c>
      <c r="G51" t="str">
        <f>P51 &amp; " | " &amp; Q51</f>
        <v>PCMTEC installation | New plugs and new Valve cover gasket - 624HP/818NM on E85 - 525HP on 98 - 4 tunes. TurboSMart Fuel pressure regulator</v>
      </c>
      <c r="I51" s="16">
        <v>3265</v>
      </c>
      <c r="K51" s="4" t="s">
        <v>221</v>
      </c>
      <c r="L51" s="4" t="b">
        <v>1</v>
      </c>
      <c r="P51" s="5" t="s">
        <v>178</v>
      </c>
      <c r="Q51" s="5" t="s">
        <v>218</v>
      </c>
      <c r="AB51"/>
    </row>
    <row r="52" spans="1:28" x14ac:dyDescent="0.3">
      <c r="A52">
        <v>4</v>
      </c>
      <c r="B52" s="21">
        <v>45251</v>
      </c>
      <c r="D52" t="s">
        <v>195</v>
      </c>
      <c r="E52" t="s">
        <v>176</v>
      </c>
      <c r="G52" t="str">
        <f>P52 &amp; " | " &amp; Q52</f>
        <v>TurboSmart - HiFlo fuel Regulator | Replaced during Dyno above.</v>
      </c>
      <c r="K52" s="4" t="s">
        <v>221</v>
      </c>
      <c r="L52" s="4" t="b">
        <v>1</v>
      </c>
      <c r="M52" s="4"/>
      <c r="N52" s="4"/>
      <c r="P52" s="3" t="s">
        <v>182</v>
      </c>
      <c r="Q52" s="5" t="s">
        <v>196</v>
      </c>
    </row>
    <row r="53" spans="1:28" x14ac:dyDescent="0.3">
      <c r="A53">
        <v>4</v>
      </c>
      <c r="B53" s="21">
        <v>45263</v>
      </c>
      <c r="D53" t="s">
        <v>194</v>
      </c>
      <c r="E53" t="s">
        <v>29</v>
      </c>
      <c r="G53" t="str">
        <f>P53 &amp; " | " &amp; Q53</f>
        <v>Installed | Replaced due to the USB power cable shorting out the older unit.  This is excellent!</v>
      </c>
      <c r="I53" s="15">
        <v>91</v>
      </c>
      <c r="K53" s="4" t="s">
        <v>221</v>
      </c>
      <c r="L53" s="4" t="b">
        <v>1</v>
      </c>
      <c r="M53" s="4"/>
      <c r="N53" s="4"/>
      <c r="P53" s="3" t="s">
        <v>198</v>
      </c>
      <c r="Q53" s="5" t="s">
        <v>197</v>
      </c>
    </row>
    <row r="54" spans="1:28" x14ac:dyDescent="0.3">
      <c r="A54">
        <v>4</v>
      </c>
      <c r="B54" s="21">
        <v>45269</v>
      </c>
      <c r="D54" t="s">
        <v>191</v>
      </c>
      <c r="E54" t="s">
        <v>183</v>
      </c>
      <c r="F54" t="s">
        <v>185</v>
      </c>
      <c r="G54" t="str">
        <f>P54 &amp; " | " &amp; Q54</f>
        <v>Replaced | Bought both only replaced Passenger as Driver's side was good.</v>
      </c>
      <c r="I54" s="15">
        <v>188</v>
      </c>
      <c r="K54" s="4" t="s">
        <v>221</v>
      </c>
      <c r="L54" s="4" t="b">
        <v>1</v>
      </c>
      <c r="M54" s="4"/>
      <c r="N54" s="4"/>
      <c r="P54" s="3" t="s">
        <v>184</v>
      </c>
      <c r="Q54" s="5" t="s">
        <v>192</v>
      </c>
    </row>
    <row r="55" spans="1:28" ht="15" customHeight="1" x14ac:dyDescent="0.3">
      <c r="A55">
        <v>4</v>
      </c>
      <c r="B55" s="21">
        <v>45276</v>
      </c>
      <c r="D55" t="s">
        <v>186</v>
      </c>
      <c r="E55" t="s">
        <v>93</v>
      </c>
      <c r="G55" t="str">
        <f>P55 &amp; " | " &amp; Q55</f>
        <v>Replaced | The car was running a little warmer than I liked in traffic.  Replaced Belt, Pulleys,Tensioner</v>
      </c>
      <c r="I55" s="15">
        <v>55</v>
      </c>
      <c r="K55" s="4" t="s">
        <v>221</v>
      </c>
      <c r="L55" s="4" t="b">
        <v>1</v>
      </c>
      <c r="M55" s="4"/>
      <c r="N55" s="4"/>
      <c r="P55" s="3" t="s">
        <v>184</v>
      </c>
      <c r="Q55" s="5" t="s">
        <v>193</v>
      </c>
    </row>
    <row r="56" spans="1:28" ht="15" customHeight="1" x14ac:dyDescent="0.3">
      <c r="A56">
        <v>4</v>
      </c>
      <c r="B56" s="21">
        <v>45276</v>
      </c>
      <c r="D56" t="s">
        <v>187</v>
      </c>
      <c r="E56" t="s">
        <v>29</v>
      </c>
      <c r="G56" t="str">
        <f>P56 &amp; " | " &amp; Q56</f>
        <v>Replaced | The car was running a little warmer than I liked in traffic.  Replaced Belt, Pulleys,Tensioner</v>
      </c>
      <c r="I56" s="15">
        <v>40.96</v>
      </c>
      <c r="K56" s="4" t="s">
        <v>221</v>
      </c>
      <c r="L56" s="4" t="b">
        <v>1</v>
      </c>
      <c r="M56" s="4"/>
      <c r="N56" s="4"/>
      <c r="P56" s="3" t="s">
        <v>184</v>
      </c>
      <c r="Q56" s="5" t="s">
        <v>193</v>
      </c>
    </row>
    <row r="57" spans="1:28" ht="15" customHeight="1" x14ac:dyDescent="0.3">
      <c r="A57">
        <v>4</v>
      </c>
      <c r="B57" s="21">
        <v>45276</v>
      </c>
      <c r="D57" t="s">
        <v>188</v>
      </c>
      <c r="E57" t="s">
        <v>29</v>
      </c>
      <c r="G57" t="str">
        <f>P57 &amp; " | " &amp; Q57</f>
        <v>Replaced | The car was running a little warmer than I liked in traffic.  Replaced Belt, Pulleys,Tensioner</v>
      </c>
      <c r="I57" s="15">
        <v>79.8</v>
      </c>
      <c r="K57" s="4" t="s">
        <v>221</v>
      </c>
      <c r="L57" s="4" t="b">
        <v>1</v>
      </c>
      <c r="M57" s="4"/>
      <c r="N57" s="4"/>
      <c r="P57" s="3" t="s">
        <v>184</v>
      </c>
      <c r="Q57" s="5" t="s">
        <v>193</v>
      </c>
    </row>
    <row r="58" spans="1:28" ht="15" customHeight="1" x14ac:dyDescent="0.3">
      <c r="A58">
        <v>4</v>
      </c>
      <c r="B58" s="21">
        <v>45276</v>
      </c>
      <c r="D58" t="s">
        <v>189</v>
      </c>
      <c r="E58" t="s">
        <v>183</v>
      </c>
      <c r="G58" t="str">
        <f>P58 &amp; " | " &amp; Q58</f>
        <v>Replaced | The car was running a little warmer than I liked in traffic.  Replaced Belt, Pulleys,Tensioner</v>
      </c>
      <c r="I58" s="15">
        <v>48.48</v>
      </c>
      <c r="K58" s="4" t="s">
        <v>221</v>
      </c>
      <c r="L58" s="4" t="b">
        <v>1</v>
      </c>
      <c r="M58" s="4"/>
      <c r="N58" s="4"/>
      <c r="P58" s="3" t="s">
        <v>184</v>
      </c>
      <c r="Q58" s="5" t="s">
        <v>193</v>
      </c>
    </row>
    <row r="59" spans="1:28" ht="15" customHeight="1" x14ac:dyDescent="0.3">
      <c r="A59">
        <v>4</v>
      </c>
      <c r="B59" s="21">
        <v>45276</v>
      </c>
      <c r="D59" t="s">
        <v>190</v>
      </c>
      <c r="E59" t="s">
        <v>93</v>
      </c>
      <c r="G59" t="str">
        <f>P59 &amp; " | " &amp; Q59</f>
        <v>Replaced | The car was running a little warmer than I liked in traffic.  Replaced Belt, Pulleys,Tensioner</v>
      </c>
      <c r="I59" s="15">
        <v>29</v>
      </c>
      <c r="K59" s="4" t="s">
        <v>221</v>
      </c>
      <c r="L59" s="4" t="b">
        <v>1</v>
      </c>
      <c r="M59" s="4"/>
      <c r="N59" s="4"/>
      <c r="P59" s="3" t="s">
        <v>184</v>
      </c>
      <c r="Q59" s="5" t="s">
        <v>193</v>
      </c>
    </row>
    <row r="60" spans="1:28" ht="15" customHeight="1" x14ac:dyDescent="0.3">
      <c r="A60">
        <v>4</v>
      </c>
      <c r="B60" s="21">
        <v>45387</v>
      </c>
      <c r="D60" t="s">
        <v>205</v>
      </c>
      <c r="E60" t="s">
        <v>87</v>
      </c>
      <c r="G60" t="str">
        <f>P60 &amp; " | " &amp; Q60</f>
        <v>Swapped | Removed OEM ICC and installed and configured AERPRO unit.  Works well!  Looks Great.</v>
      </c>
      <c r="I60" s="15">
        <v>800</v>
      </c>
      <c r="K60" s="4" t="s">
        <v>221</v>
      </c>
      <c r="L60" s="4" t="b">
        <v>1</v>
      </c>
      <c r="M60" s="4"/>
      <c r="N60" s="4"/>
      <c r="P60" s="3" t="s">
        <v>206</v>
      </c>
      <c r="Q60" s="5" t="s">
        <v>207</v>
      </c>
    </row>
    <row r="61" spans="1:28" s="10" customFormat="1" x14ac:dyDescent="0.3">
      <c r="A61">
        <v>4</v>
      </c>
      <c r="B61" s="24">
        <v>45396</v>
      </c>
      <c r="C61" s="30">
        <v>185527</v>
      </c>
      <c r="D61" s="10" t="s">
        <v>200</v>
      </c>
      <c r="E61" s="10" t="s">
        <v>51</v>
      </c>
      <c r="G61" t="str">
        <f>P61 &amp; " | " &amp; Q61</f>
        <v>Replaced | No issues.</v>
      </c>
      <c r="I61" s="20">
        <v>149</v>
      </c>
      <c r="K61" s="4" t="s">
        <v>221</v>
      </c>
      <c r="L61" s="4" t="b">
        <v>0</v>
      </c>
      <c r="M61" s="4"/>
      <c r="N61" s="4"/>
      <c r="P61" s="11" t="s">
        <v>184</v>
      </c>
      <c r="Q61" s="13" t="s">
        <v>201</v>
      </c>
      <c r="AB61"/>
    </row>
    <row r="62" spans="1:28" s="4" customFormat="1" ht="28.8" x14ac:dyDescent="0.3">
      <c r="A62">
        <v>4</v>
      </c>
      <c r="B62" s="22">
        <v>45396</v>
      </c>
      <c r="C62" s="27">
        <v>185527</v>
      </c>
      <c r="D62" s="4" t="s">
        <v>202</v>
      </c>
      <c r="G62" t="str">
        <f>P62 &amp; " | " &amp; Q62</f>
        <v>Fitment  | There was a large gap at the bottom of the fan shroud.  Turns out the middle attachment point had missed the hanger.</v>
      </c>
      <c r="I62" s="16">
        <v>0</v>
      </c>
      <c r="K62" s="4" t="s">
        <v>221</v>
      </c>
      <c r="L62" s="4" t="b">
        <v>1</v>
      </c>
      <c r="P62" s="5" t="s">
        <v>203</v>
      </c>
      <c r="Q62" s="5" t="s">
        <v>204</v>
      </c>
      <c r="AB62"/>
    </row>
    <row r="63" spans="1:28" s="4" customFormat="1" ht="28.8" x14ac:dyDescent="0.3">
      <c r="A63">
        <v>4</v>
      </c>
      <c r="B63" s="22">
        <v>45402</v>
      </c>
      <c r="C63" s="27"/>
      <c r="D63" s="4" t="s">
        <v>211</v>
      </c>
      <c r="E63" s="4" t="s">
        <v>167</v>
      </c>
      <c r="G63" t="str">
        <f>P63 &amp; " | " &amp; Q63</f>
        <v xml:space="preserve">Replaced Apple Carplay mirror | Apple carplay mirror was no longer need with new headunit.  I wanted a camera to look in the tub when carrying gear. </v>
      </c>
      <c r="I63" s="16">
        <v>130</v>
      </c>
      <c r="K63" s="4" t="s">
        <v>221</v>
      </c>
      <c r="L63" s="4" t="b">
        <v>1</v>
      </c>
      <c r="P63" s="5" t="s">
        <v>212</v>
      </c>
      <c r="Q63" s="5" t="s">
        <v>213</v>
      </c>
      <c r="AB63"/>
    </row>
    <row r="65" spans="16:16" x14ac:dyDescent="0.3">
      <c r="P65"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41" sqref="E41"/>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D20" sqref="D20"/>
    </sheetView>
  </sheetViews>
  <sheetFormatPr defaultRowHeight="14.4" x14ac:dyDescent="0.3"/>
  <cols>
    <col min="1" max="1" width="51.44140625" bestFit="1" customWidth="1"/>
    <col min="2" max="2" width="11.109375" bestFit="1" customWidth="1"/>
    <col min="3" max="3" width="10.5546875" style="2" bestFit="1" customWidth="1"/>
    <col min="4" max="4" width="13.5546875" bestFit="1" customWidth="1"/>
    <col min="5" max="5" width="141.33203125" bestFit="1" customWidth="1"/>
  </cols>
  <sheetData>
    <row r="1" spans="1:5" x14ac:dyDescent="0.3">
      <c r="A1" t="s">
        <v>90</v>
      </c>
      <c r="B1" t="s">
        <v>91</v>
      </c>
      <c r="C1" s="2" t="s">
        <v>216</v>
      </c>
      <c r="D1" t="s">
        <v>92</v>
      </c>
      <c r="E1" t="s">
        <v>94</v>
      </c>
    </row>
    <row r="2" spans="1:5" x14ac:dyDescent="0.3">
      <c r="A2" t="s">
        <v>95</v>
      </c>
      <c r="C2" s="2">
        <v>308</v>
      </c>
      <c r="D2" t="s">
        <v>93</v>
      </c>
      <c r="E2" t="s">
        <v>96</v>
      </c>
    </row>
    <row r="3" spans="1:5" s="10" customFormat="1" x14ac:dyDescent="0.3">
      <c r="A3" s="10" t="s">
        <v>97</v>
      </c>
      <c r="C3" s="12">
        <v>441.94</v>
      </c>
      <c r="D3" s="10" t="s">
        <v>93</v>
      </c>
      <c r="E3" s="10" t="s">
        <v>98</v>
      </c>
    </row>
    <row r="4" spans="1:5" x14ac:dyDescent="0.3">
      <c r="A4" t="s">
        <v>99</v>
      </c>
      <c r="C4" s="2">
        <v>475.2</v>
      </c>
      <c r="D4" t="s">
        <v>93</v>
      </c>
      <c r="E4" t="s">
        <v>100</v>
      </c>
    </row>
    <row r="5" spans="1:5" s="10" customFormat="1" x14ac:dyDescent="0.3">
      <c r="A5" s="10" t="s">
        <v>101</v>
      </c>
      <c r="C5" s="12">
        <v>55</v>
      </c>
      <c r="D5" s="10" t="s">
        <v>93</v>
      </c>
      <c r="E5" s="10" t="s">
        <v>102</v>
      </c>
    </row>
    <row r="6" spans="1:5" s="10" customFormat="1" x14ac:dyDescent="0.3">
      <c r="A6" s="10" t="s">
        <v>103</v>
      </c>
      <c r="C6" s="12">
        <v>583</v>
      </c>
      <c r="D6" s="10" t="s">
        <v>75</v>
      </c>
      <c r="E6" s="10" t="s">
        <v>104</v>
      </c>
    </row>
    <row r="7" spans="1:5" x14ac:dyDescent="0.3">
      <c r="A7" t="s">
        <v>208</v>
      </c>
      <c r="C7" s="2">
        <v>3700</v>
      </c>
      <c r="D7" t="s">
        <v>209</v>
      </c>
      <c r="E7" t="s">
        <v>210</v>
      </c>
    </row>
    <row r="8" spans="1:5" s="10" customFormat="1" x14ac:dyDescent="0.3">
      <c r="A8" s="10" t="s">
        <v>171</v>
      </c>
      <c r="C8" s="12">
        <v>2500</v>
      </c>
      <c r="D8" s="10" t="s">
        <v>172</v>
      </c>
      <c r="E8" s="10" t="s">
        <v>199</v>
      </c>
    </row>
    <row r="9" spans="1:5" x14ac:dyDescent="0.3">
      <c r="A9" t="s">
        <v>214</v>
      </c>
      <c r="C9"/>
    </row>
    <row r="10" spans="1:5" x14ac:dyDescent="0.3">
      <c r="A10" t="s">
        <v>215</v>
      </c>
      <c r="C1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Vehicle Details</vt:lpstr>
      <vt:lpstr>Maintenance</vt:lpstr>
      <vt:lpstr>Modifications</vt:lpstr>
      <vt:lpstr>Wish List</vt:lpstr>
      <vt:lpstr>Chart1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Dale Sayers</dc:creator>
  <cp:keywords/>
  <dc:description/>
  <cp:lastModifiedBy>Dale Sayers</cp:lastModifiedBy>
  <cp:revision/>
  <dcterms:created xsi:type="dcterms:W3CDTF">2015-06-05T18:17:20Z</dcterms:created>
  <dcterms:modified xsi:type="dcterms:W3CDTF">2025-09-14T08:15:57Z</dcterms:modified>
  <cp:category/>
  <cp:contentStatus/>
</cp:coreProperties>
</file>